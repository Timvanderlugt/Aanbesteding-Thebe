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elichting" sheetId="1" state="visible" r:id="rId1"/>
    <sheet name="Inschrijfstaat" sheetId="2" state="visible" r:id="rId2"/>
    <sheet name="Begroting" sheetId="3" state="visible" r:id="rId3"/>
    <sheet name="Risicos" sheetId="4" state="visible" r:id="rId4"/>
    <sheet name="Eenheidsprijzen" sheetId="5" state="visible" r:id="rId5"/>
    <sheet name="Optimalisaties" sheetId="6" state="visible" r:id="rId6"/>
  </sheets>
  <definedNames>
    <definedName name="_xlnm._FilterDatabase" localSheetId="2" hidden="1">'Begroting'!$A$1:$K$105</definedName>
  </definedNames>
  <calcPr calcId="124519" fullCalcOnLoad="1"/>
</workbook>
</file>

<file path=xl/styles.xml><?xml version="1.0" encoding="utf-8"?>
<styleSheet xmlns="http://schemas.openxmlformats.org/spreadsheetml/2006/main">
  <numFmts count="4">
    <numFmt numFmtId="164" formatCode="#,##0;-#,##0;-"/>
    <numFmt numFmtId="165" formatCode="_ &quot;€&quot; * #,##0.00_ ;_ &quot;€&quot; * -#,##0.00_ ;_ &quot;€&quot; * &quot;-&quot;_ ;_ @_ "/>
    <numFmt numFmtId="166" formatCode="_ &quot;€&quot; * #,##0_ ;_ &quot;€&quot; * -#,##0_ ;_ &quot;€&quot; * &quot;-&quot;_ ;_ @_ "/>
    <numFmt numFmtId="167" formatCode="0.0%"/>
  </numFmts>
  <fonts count="7">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
      <name val="Arial"/>
      <color theme="1"/>
      <sz val="11"/>
    </font>
  </fonts>
  <fills count="7">
    <fill>
      <patternFill/>
    </fill>
    <fill>
      <patternFill patternType="gray125"/>
    </fill>
    <fill>
      <patternFill patternType="solid">
        <fgColor rgb="001F3864"/>
      </patternFill>
    </fill>
    <fill>
      <patternFill patternType="solid">
        <fgColor rgb="00FFFF00"/>
      </patternFill>
    </fill>
    <fill>
      <patternFill patternType="solid">
        <fgColor rgb="00E2EFDA"/>
      </patternFill>
    </fill>
    <fill>
      <patternFill patternType="solid">
        <fgColor rgb="00D9E1F2"/>
      </patternFill>
    </fill>
    <fill>
      <patternFill patternType="solid">
        <fgColor rgb="00FFC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2" borderId="1" applyAlignment="1" pivotButton="0" quotePrefix="0" xfId="0">
      <alignment wrapText="1"/>
    </xf>
    <xf numFmtId="0" fontId="0" fillId="5" borderId="0" pivotButton="0" quotePrefix="0" xfId="0"/>
    <xf numFmtId="0" fontId="3" fillId="5" borderId="0" pivotButton="0" quotePrefix="0" xfId="0"/>
    <xf numFmtId="166" fontId="3" fillId="5" borderId="0" pivotButton="0" quotePrefix="0" xfId="0"/>
    <xf numFmtId="0" fontId="3" fillId="0" borderId="1" pivotButton="0" quotePrefix="0" xfId="0"/>
    <xf numFmtId="0" fontId="2" fillId="0" borderId="1" pivotButton="0" quotePrefix="0" xfId="0"/>
    <xf numFmtId="0" fontId="0" fillId="0" borderId="1" pivotButton="0" quotePrefix="0" xfId="0"/>
    <xf numFmtId="166" fontId="6" fillId="0" borderId="1" pivotButton="0" quotePrefix="0" xfId="0"/>
    <xf numFmtId="166" fontId="3" fillId="0" borderId="1" pivotButton="0" quotePrefix="0" xfId="0"/>
    <xf numFmtId="10" fontId="5" fillId="3" borderId="1" pivotButton="0" quotePrefix="0" xfId="0"/>
    <xf numFmtId="0" fontId="6" fillId="0" borderId="1" pivotButton="0" quotePrefix="0" xfId="0"/>
    <xf numFmtId="0" fontId="3" fillId="0" borderId="0" pivotButton="0" quotePrefix="0" xfId="0"/>
    <xf numFmtId="166" fontId="3" fillId="6" borderId="0" pivotButton="0" quotePrefix="0" xfId="0"/>
    <xf numFmtId="0" fontId="6" fillId="0" borderId="0" pivotButton="0" quotePrefix="0" xfId="0"/>
    <xf numFmtId="0" fontId="5" fillId="3" borderId="0" pivotButton="0" quotePrefix="0" xfId="0"/>
    <xf numFmtId="166" fontId="6" fillId="0" borderId="0" pivotButton="0" quotePrefix="0" xfId="0"/>
    <xf numFmtId="167"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164" fontId="5" fillId="3" borderId="1" applyAlignment="1" pivotButton="0" quotePrefix="0" xfId="0">
      <alignment vertical="top" wrapText="1"/>
    </xf>
    <xf numFmtId="165" fontId="5" fillId="3" borderId="1" applyAlignment="1" pivotButton="0" quotePrefix="0" xfId="0">
      <alignment vertical="top" wrapText="1"/>
    </xf>
    <xf numFmtId="166" fontId="2" fillId="0" borderId="1" applyAlignment="1" pivotButton="0" quotePrefix="0" xfId="0">
      <alignment vertical="top" wrapText="1"/>
    </xf>
    <xf numFmtId="165" fontId="5" fillId="4" borderId="1" applyAlignment="1" pivotButton="0" quotePrefix="0" xfId="0">
      <alignment vertical="top" wrapText="1"/>
    </xf>
    <xf numFmtId="166" fontId="3" fillId="0" borderId="0" pivotButton="0" quotePrefix="0" xfId="0"/>
    <xf numFmtId="9" fontId="5" fillId="3" borderId="1" applyAlignment="1" pivotButton="0" quotePrefix="0" xfId="0">
      <alignment vertical="top" wrapText="1"/>
    </xf>
    <xf numFmtId="166" fontId="5" fillId="3" borderId="1" applyAlignment="1" pivotButton="0" quotePrefix="0" xfId="0">
      <alignment vertical="top" wrapText="1"/>
    </xf>
    <xf numFmtId="0" fontId="5" fillId="3" borderId="1" applyAlignment="1" pivotButton="0" quotePrefix="0" xfId="0">
      <alignment vertical="top" wrapText="1"/>
    </xf>
    <xf numFmtId="0" fontId="2" fillId="0" borderId="0" pivotButton="0" quotePrefix="0" xfId="0"/>
    <xf numFmtId="0" fontId="4" fillId="2" borderId="0" pivotButton="0" quotePrefix="0" xfId="0"/>
    <xf numFmtId="165" fontId="5" fillId="3" borderId="0" pivotButton="0" quotePrefix="0" xfId="0"/>
    <xf numFmtId="0" fontId="6" fillId="0" borderId="0" applyAlignment="1" pivotButton="0" quotePrefix="0" xfId="0">
      <alignment vertical="top" wrapText="1"/>
    </xf>
    <xf numFmtId="166" fontId="5" fillId="3" borderId="0" pivotButton="0" quotePrefix="0" xfId="0"/>
  </cellXfs>
  <cellStyles count="1">
    <cellStyle name="Normal" xfId="0" builtinId="0" hidden="0"/>
  </cellStyles>
  <dxfs count="1">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Calculatiemodel</author>
  </authors>
  <commentList>
    <comment ref="C31" authorId="0" shapeId="0">
      <text>
        <t>Richtwaarde. Gangbaar in de burgerlijke en utiliteitsbouw: AK circa 6–9%, W&amp;R circa 2–5%, CAR circa 0,15–0,35%. Vervang door uw eigen bedrijfspercentages.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 customWidth="1" min="1" max="1"/>
    <col width="110" customWidth="1" min="2" max="2"/>
  </cols>
  <sheetData>
    <row r="1">
      <c r="B1" s="1" t="inlineStr">
        <is>
          <t>Calculatiemodel Thebe 22 – VDL Bouw &amp; Onderhoud B.V.</t>
        </is>
      </c>
    </row>
    <row r="2">
      <c r="B2" s="2" t="inlineStr">
        <is>
          <t>Renovatie begane grond Thebe 22, Hilversum – meervoudig onderhandse aanbesteding, gunning op laagste prijs. Bedragen excl. BTW, prijspeil 2026.</t>
        </is>
      </c>
    </row>
    <row r="3">
      <c r="B3" s="2" t="inlineStr"/>
    </row>
    <row r="4">
      <c r="B4" s="3" t="inlineStr">
        <is>
          <t>Doel</t>
        </is>
      </c>
    </row>
    <row r="5">
      <c r="B5" s="2" t="inlineStr">
        <is>
          <t>Werkbegroting achter de officiële Inschrijfstaat (Bijlage 2). Het officiële formulier blijft ongewijzigd: het tabblad 'Inschrijfstaat' geeft per regel het bedrag dat u overneemt in de gele cel van het formulier (kolom 'Cel formulier').</t>
        </is>
      </c>
    </row>
    <row r="6">
      <c r="B6" s="2" t="inlineStr"/>
    </row>
    <row r="7">
      <c r="B7" s="3" t="inlineStr">
        <is>
          <t>Hoe te gebruiken</t>
        </is>
      </c>
    </row>
    <row r="8">
      <c r="B8" s="2" t="inlineStr">
        <is>
          <t>1. Tabblad 'Begroting': vul hoeveelheden (kolom F) en eenheidsprijzen (kolom G) in. Blauwe tekst op geel = invoer. Zwarte tekst = formule.</t>
        </is>
      </c>
    </row>
    <row r="9">
      <c r="B9" s="2" t="inlineStr">
        <is>
          <t>2. Vervang elke 'Richtprijs' door de eigen norm of een offerte van een onderaannemer, en zet de status op 'Offerte ontvangen' of 'Eigen norm'.</t>
        </is>
      </c>
    </row>
    <row r="10">
      <c r="B10" s="2" t="inlineStr">
        <is>
          <t>3. Tabblad 'Risicos': kies per risico of u het meeprijst (Ja/Nee). Meegeprijsde risico's gaan als verwachte waarde (kans × impact) naar de genoemde post.</t>
        </is>
      </c>
    </row>
    <row r="11">
      <c r="B11" s="2" t="inlineStr">
        <is>
          <t>4. Tabblad 'Inschrijfstaat': vul de percentages AK, W&amp;R en CAR in. Neem daarna de bedragen over in het formulier en controleer of het totaal gelijk is.</t>
        </is>
      </c>
    </row>
    <row r="12">
      <c r="B12" s="2" t="inlineStr">
        <is>
          <t>5. Tabblad 'Eenheidsprijzen': verrekenprijzen die E&amp;W apart vraagt (isolatieherstel, snoeren). Die passen niet in het formulier: vraag de inkoper waar ze horen.</t>
        </is>
      </c>
    </row>
    <row r="13">
      <c r="B13" s="2" t="inlineStr">
        <is>
          <t>6. Tabblad 'Optimalisaties': optioneel deel onderaan het formulier (tellen niet mee in de gunning).</t>
        </is>
      </c>
    </row>
    <row r="14">
      <c r="B14" s="2" t="inlineStr"/>
    </row>
    <row r="15">
      <c r="B15" s="3" t="inlineStr">
        <is>
          <t>BELANGRIJK – status van de bedragen</t>
        </is>
      </c>
    </row>
    <row r="16">
      <c r="B16" s="2" t="inlineStr">
        <is>
          <t>Alle eenheidsprijzen met status 'Richtprijs' zijn indicatieve marktprijzen (orde van grootte, 2025–2026), NIET gebaseerd op offertes. Ze dienen alleen als startpunt en vergelijkingsmaat. Omdat de gunning op laagste prijs gaat, bepalen de werkelijke offertes van uw onderaannemers de inschrijving.</t>
        </is>
      </c>
    </row>
    <row r="17">
      <c r="B17" s="2" t="inlineStr">
        <is>
          <t>Ook de hoeveelheden zijn aannames uit de teksten van BBN en Winkelman. Tekeningen (bijlage 1 t/m 4, L.0.01, T.0.01, R.0.01) waren bij het opstellen niet beschikbaar. Tel alle aantallen na op tekening.</t>
        </is>
      </c>
    </row>
    <row r="18">
      <c r="B18" s="2" t="inlineStr"/>
    </row>
    <row r="19">
      <c r="B19" s="3" t="inlineStr">
        <is>
          <t>Regels uit de offerteaanvraag die gevolgen hebben voor de prijs</t>
        </is>
      </c>
    </row>
    <row r="20">
      <c r="B20" s="2" t="inlineStr">
        <is>
          <t>• Geen nul- of negatieve bedragen en geen symbolische prijzen. Elke regel in het formulier moet een reëel bedrag hebben (zie controle op het tabblad Inschrijfstaat).</t>
        </is>
      </c>
    </row>
    <row r="21">
      <c r="B21" s="2" t="inlineStr">
        <is>
          <t>• Geen kosten verschuiven tussen posten om het beoordelingsmodel te bespelen (manipulatief inschrijven leidt tot uitsluiting). Zet kosten waar ze thuishoren.</t>
        </is>
      </c>
    </row>
    <row r="22">
      <c r="B22" s="2" t="inlineStr">
        <is>
          <t>• Geen voorbehouden en geen varianten. Een voorbehoud op een eis betekent uitsluiting.</t>
        </is>
      </c>
    </row>
    <row r="23">
      <c r="B23" s="2" t="inlineStr">
        <is>
          <t>• Stelposten staan vast: € 10.000 tijdelijke voorzieningen (E&amp;W 5.1) en € 2.000 Salto-tag (E&amp;W 12.4).</t>
        </is>
      </c>
    </row>
    <row r="24">
      <c r="B24" s="2" t="inlineStr">
        <is>
          <t>• Gestanddoening minimaal 90 dagen. Het prijspeil is 2026 en het werk loopt in Q4 2026, dus geen indexering nodig.</t>
        </is>
      </c>
    </row>
    <row r="25">
      <c r="B25" s="2" t="inlineStr">
        <is>
          <t>• BBN vraagt een open begroting, het formulier niet. Dien alleen het formulier in (de offerteaanvraag zegt: niet afwijken) en houd dit model klaar voor een eventueel verificatiegesprek.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pane ySplit="3" topLeftCell="A4" activePane="bottomLeft" state="frozen"/>
      <selection pane="bottomLeft" activeCell="A1" sqref="A1"/>
    </sheetView>
  </sheetViews>
  <sheetFormatPr baseColWidth="8" defaultRowHeight="15"/>
  <cols>
    <col width="12" customWidth="1" min="1" max="1"/>
    <col width="58" customWidth="1" min="2" max="2"/>
    <col width="10" customWidth="1" min="3" max="3"/>
    <col width="15" customWidth="1" min="4" max="4"/>
    <col width="15" customWidth="1" min="5" max="5"/>
    <col width="16" customWidth="1" min="6" max="6"/>
    <col width="40" customWidth="1" min="7" max="7"/>
  </cols>
  <sheetData>
    <row r="1">
      <c r="A1" s="4" t="inlineStr">
        <is>
          <t>Over te nemen in Bijlage 2 – Inschrijfstaat Prijzenformulier (alleen de gele cellen van het formulier)</t>
        </is>
      </c>
    </row>
    <row r="2"/>
    <row r="3">
      <c r="A3" s="5" t="inlineStr">
        <is>
          <t>Cel formulier</t>
        </is>
      </c>
      <c r="B3" s="5" t="inlineStr">
        <is>
          <t>Omschrijving</t>
        </is>
      </c>
      <c r="C3" s="5" t="inlineStr">
        <is>
          <t>%</t>
        </is>
      </c>
      <c r="D3" s="5" t="inlineStr">
        <is>
          <t>Begroting</t>
        </is>
      </c>
      <c r="E3" s="5" t="inlineStr">
        <is>
          <t>Risicos</t>
        </is>
      </c>
      <c r="F3" s="5" t="inlineStr">
        <is>
          <t>Bedrag in formulier</t>
        </is>
      </c>
      <c r="G3" s="5" t="inlineStr">
        <is>
          <t>Controle</t>
        </is>
      </c>
    </row>
    <row r="4">
      <c r="A4" s="6" t="n"/>
      <c r="B4" s="7" t="inlineStr">
        <is>
          <t>Installatietechnische werkzaamheden</t>
        </is>
      </c>
      <c r="C4" s="6" t="n"/>
      <c r="D4" s="6" t="n"/>
      <c r="E4" s="6" t="n"/>
      <c r="F4" s="8">
        <f>SUM(F5:F13)</f>
        <v/>
      </c>
      <c r="G4" s="6" t="n"/>
    </row>
    <row r="5">
      <c r="A5" s="9" t="inlineStr">
        <is>
          <t>E13</t>
        </is>
      </c>
      <c r="B5" s="10" t="inlineStr">
        <is>
          <t>Ruimteverwarming en -koeling</t>
        </is>
      </c>
      <c r="C5" s="11" t="n"/>
      <c r="D5" s="12">
        <f>SUMIFS(Begroting!$H$2:$H$105,Begroting!$A$2:$A$105,13)</f>
        <v/>
      </c>
      <c r="E5" s="12">
        <f>SUMIFS(Risicos!$I$2:$I$11,Risicos!$H$2:$H$11,13)</f>
        <v/>
      </c>
      <c r="F5" s="13">
        <f>ROUND(D5+E5,0)</f>
        <v/>
      </c>
      <c r="G5" s="10">
        <f>IF(F5&lt;=0,"FOUT: nul-bedrag niet toegestaan","ok")</f>
        <v/>
      </c>
    </row>
    <row r="6">
      <c r="A6" s="9" t="inlineStr">
        <is>
          <t>E14</t>
        </is>
      </c>
      <c r="B6" s="10" t="inlineStr">
        <is>
          <t>Warmtapwaterinstallatie</t>
        </is>
      </c>
      <c r="C6" s="11" t="n"/>
      <c r="D6" s="12">
        <f>SUMIFS(Begroting!$H$2:$H$105,Begroting!$A$2:$A$105,14)</f>
        <v/>
      </c>
      <c r="E6" s="12">
        <f>SUMIFS(Risicos!$I$2:$I$11,Risicos!$H$2:$H$11,14)</f>
        <v/>
      </c>
      <c r="F6" s="13">
        <f>ROUND(D6+E6,0)</f>
        <v/>
      </c>
      <c r="G6" s="10">
        <f>IF(F6&lt;=0,"FOUT: nul-bedrag niet toegestaan","ok")</f>
        <v/>
      </c>
    </row>
    <row r="7">
      <c r="A7" s="9" t="inlineStr">
        <is>
          <t>E15</t>
        </is>
      </c>
      <c r="B7" s="10" t="inlineStr">
        <is>
          <t>Luchtbehandelingskast / ventilatie-installatie, incl. kanaalwerk</t>
        </is>
      </c>
      <c r="C7" s="11" t="n"/>
      <c r="D7" s="12">
        <f>SUMIFS(Begroting!$H$2:$H$105,Begroting!$A$2:$A$105,15)</f>
        <v/>
      </c>
      <c r="E7" s="12">
        <f>SUMIFS(Risicos!$I$2:$I$11,Risicos!$H$2:$H$11,15)</f>
        <v/>
      </c>
      <c r="F7" s="13">
        <f>ROUND(D7+E7,0)</f>
        <v/>
      </c>
      <c r="G7" s="10">
        <f>IF(F7&lt;=0,"FOUT: nul-bedrag niet toegestaan","ok")</f>
        <v/>
      </c>
    </row>
    <row r="8">
      <c r="A8" s="9" t="inlineStr">
        <is>
          <t>E16</t>
        </is>
      </c>
      <c r="B8" s="10" t="inlineStr">
        <is>
          <t>Verlichtingsinstallatie</t>
        </is>
      </c>
      <c r="C8" s="11" t="n"/>
      <c r="D8" s="12">
        <f>SUMIFS(Begroting!$H$2:$H$105,Begroting!$A$2:$A$105,16)</f>
        <v/>
      </c>
      <c r="E8" s="12">
        <f>SUMIFS(Risicos!$I$2:$I$11,Risicos!$H$2:$H$11,16)</f>
        <v/>
      </c>
      <c r="F8" s="13">
        <f>ROUND(D8+E8,0)</f>
        <v/>
      </c>
      <c r="G8" s="10">
        <f>IF(F8&lt;=0,"FOUT: nul-bedrag niet toegestaan","ok")</f>
        <v/>
      </c>
    </row>
    <row r="9">
      <c r="A9" s="9" t="inlineStr">
        <is>
          <t>E17</t>
        </is>
      </c>
      <c r="B9" s="10" t="inlineStr">
        <is>
          <t>Centrale elektrotechnische voorzieningen</t>
        </is>
      </c>
      <c r="C9" s="11" t="n"/>
      <c r="D9" s="12">
        <f>SUMIFS(Begroting!$H$2:$H$105,Begroting!$A$2:$A$105,17)</f>
        <v/>
      </c>
      <c r="E9" s="12">
        <f>SUMIFS(Risicos!$I$2:$I$11,Risicos!$H$2:$H$11,17)</f>
        <v/>
      </c>
      <c r="F9" s="13">
        <f>ROUND(D9+E9,0)</f>
        <v/>
      </c>
      <c r="G9" s="10">
        <f>IF(F9&lt;=0,"FOUT: nul-bedrag niet toegestaan","ok")</f>
        <v/>
      </c>
    </row>
    <row r="10">
      <c r="A10" s="9" t="inlineStr">
        <is>
          <t>E18</t>
        </is>
      </c>
      <c r="B10" s="10" t="inlineStr">
        <is>
          <t>Aanpassen regeltechniek</t>
        </is>
      </c>
      <c r="C10" s="11" t="n"/>
      <c r="D10" s="12">
        <f>SUMIFS(Begroting!$H$2:$H$105,Begroting!$A$2:$A$105,18)</f>
        <v/>
      </c>
      <c r="E10" s="12">
        <f>SUMIFS(Risicos!$I$2:$I$11,Risicos!$H$2:$H$11,18)</f>
        <v/>
      </c>
      <c r="F10" s="13">
        <f>ROUND(D10+E10,0)</f>
        <v/>
      </c>
      <c r="G10" s="10">
        <f>IF(F10&lt;=0,"FOUT: nul-bedrag niet toegestaan","ok")</f>
        <v/>
      </c>
    </row>
    <row r="11">
      <c r="A11" s="9" t="inlineStr">
        <is>
          <t>E19</t>
        </is>
      </c>
      <c r="B11" s="10" t="inlineStr">
        <is>
          <t>Communicatievoorzieningen</t>
        </is>
      </c>
      <c r="C11" s="11" t="n"/>
      <c r="D11" s="12">
        <f>SUMIFS(Begroting!$H$2:$H$105,Begroting!$A$2:$A$105,19)</f>
        <v/>
      </c>
      <c r="E11" s="12">
        <f>SUMIFS(Risicos!$I$2:$I$11,Risicos!$H$2:$H$11,19)</f>
        <v/>
      </c>
      <c r="F11" s="13">
        <f>ROUND(D11+E11,0)</f>
        <v/>
      </c>
      <c r="G11" s="10">
        <f>IF(F11&lt;=0,"FOUT: nul-bedrag niet toegestaan","ok")</f>
        <v/>
      </c>
    </row>
    <row r="12">
      <c r="A12" s="9" t="inlineStr">
        <is>
          <t>E20</t>
        </is>
      </c>
      <c r="B12" s="10" t="inlineStr">
        <is>
          <t>Toegangscontrole en beveiliging</t>
        </is>
      </c>
      <c r="C12" s="11" t="n"/>
      <c r="D12" s="12">
        <f>SUMIFS(Begroting!$H$2:$H$105,Begroting!$A$2:$A$105,20)</f>
        <v/>
      </c>
      <c r="E12" s="12">
        <f>SUMIFS(Risicos!$I$2:$I$11,Risicos!$H$2:$H$11,20)</f>
        <v/>
      </c>
      <c r="F12" s="13">
        <f>ROUND(D12+E12,0)</f>
        <v/>
      </c>
      <c r="G12" s="10">
        <f>IF(F12&lt;=0,"FOUT: nul-bedrag niet toegestaan","ok")</f>
        <v/>
      </c>
    </row>
    <row r="13">
      <c r="A13" s="9" t="inlineStr">
        <is>
          <t>E21</t>
        </is>
      </c>
      <c r="B13" s="10" t="inlineStr">
        <is>
          <t>Evt. andere bijkomende kosten (installaties)</t>
        </is>
      </c>
      <c r="C13" s="11" t="n"/>
      <c r="D13" s="12">
        <f>SUMIFS(Begroting!$H$2:$H$105,Begroting!$A$2:$A$105,21)</f>
        <v/>
      </c>
      <c r="E13" s="12">
        <f>SUMIFS(Risicos!$I$2:$I$11,Risicos!$H$2:$H$11,21)</f>
        <v/>
      </c>
      <c r="F13" s="13">
        <f>ROUND(D13+E13,0)</f>
        <v/>
      </c>
      <c r="G13" s="10">
        <f>IF(F13&lt;=0,"FOUT: nul-bedrag niet toegestaan","ok")</f>
        <v/>
      </c>
    </row>
    <row r="14">
      <c r="A14" s="6" t="n"/>
      <c r="B14" s="7" t="inlineStr">
        <is>
          <t>Bouwkundige voorzieningen</t>
        </is>
      </c>
      <c r="C14" s="6" t="n"/>
      <c r="D14" s="6" t="n"/>
      <c r="E14" s="6" t="n"/>
      <c r="F14" s="8">
        <f>SUM(F15:F26)</f>
        <v/>
      </c>
      <c r="G14" s="6" t="n"/>
    </row>
    <row r="15">
      <c r="A15" s="9" t="inlineStr">
        <is>
          <t>E23</t>
        </is>
      </c>
      <c r="B15" s="10" t="inlineStr">
        <is>
          <t>Vervangen kozijnen, ramen en gevelpanelen/-onderdelen</t>
        </is>
      </c>
      <c r="C15" s="11" t="n"/>
      <c r="D15" s="12">
        <f>SUMIFS(Begroting!$H$2:$H$105,Begroting!$A$2:$A$105,23)</f>
        <v/>
      </c>
      <c r="E15" s="12">
        <f>SUMIFS(Risicos!$I$2:$I$11,Risicos!$H$2:$H$11,23)</f>
        <v/>
      </c>
      <c r="F15" s="13">
        <f>ROUND(D15+E15,0)</f>
        <v/>
      </c>
      <c r="G15" s="10">
        <f>IF(F15&lt;=0,"FOUT: nul-bedrag niet toegestaan","ok")</f>
        <v/>
      </c>
    </row>
    <row r="16">
      <c r="A16" s="9" t="inlineStr">
        <is>
          <t>E24</t>
        </is>
      </c>
      <c r="B16" s="10" t="inlineStr">
        <is>
          <t>Vervangen vloerafwerking en plinten</t>
        </is>
      </c>
      <c r="C16" s="11" t="n"/>
      <c r="D16" s="12">
        <f>SUMIFS(Begroting!$H$2:$H$105,Begroting!$A$2:$A$105,24)</f>
        <v/>
      </c>
      <c r="E16" s="12">
        <f>SUMIFS(Risicos!$I$2:$I$11,Risicos!$H$2:$H$11,24)</f>
        <v/>
      </c>
      <c r="F16" s="13">
        <f>ROUND(D16+E16,0)</f>
        <v/>
      </c>
      <c r="G16" s="10">
        <f>IF(F16&lt;=0,"FOUT: nul-bedrag niet toegestaan","ok")</f>
        <v/>
      </c>
    </row>
    <row r="17">
      <c r="A17" s="9" t="inlineStr">
        <is>
          <t>E25</t>
        </is>
      </c>
      <c r="B17" s="10" t="inlineStr">
        <is>
          <t>Aanpassen binnenwanden, -kozijnen en deuren</t>
        </is>
      </c>
      <c r="C17" s="11" t="n"/>
      <c r="D17" s="12">
        <f>SUMIFS(Begroting!$H$2:$H$105,Begroting!$A$2:$A$105,25)</f>
        <v/>
      </c>
      <c r="E17" s="12">
        <f>SUMIFS(Risicos!$I$2:$I$11,Risicos!$H$2:$H$11,25)</f>
        <v/>
      </c>
      <c r="F17" s="13">
        <f>ROUND(D17+E17,0)</f>
        <v/>
      </c>
      <c r="G17" s="10">
        <f>IF(F17&lt;=0,"FOUT: nul-bedrag niet toegestaan","ok")</f>
        <v/>
      </c>
    </row>
    <row r="18">
      <c r="A18" s="9" t="inlineStr">
        <is>
          <t>E26</t>
        </is>
      </c>
      <c r="B18" s="10" t="inlineStr">
        <is>
          <t>Vervangen plafondafwerking</t>
        </is>
      </c>
      <c r="C18" s="11" t="n"/>
      <c r="D18" s="12">
        <f>SUMIFS(Begroting!$H$2:$H$105,Begroting!$A$2:$A$105,26)</f>
        <v/>
      </c>
      <c r="E18" s="12">
        <f>SUMIFS(Risicos!$I$2:$I$11,Risicos!$H$2:$H$11,26)</f>
        <v/>
      </c>
      <c r="F18" s="13">
        <f>ROUND(D18+E18,0)</f>
        <v/>
      </c>
      <c r="G18" s="10">
        <f>IF(F18&lt;=0,"FOUT: nul-bedrag niet toegestaan","ok")</f>
        <v/>
      </c>
    </row>
    <row r="19">
      <c r="A19" s="9" t="inlineStr">
        <is>
          <t>E27</t>
        </is>
      </c>
      <c r="B19" s="10" t="inlineStr">
        <is>
          <t>Aanpassen zonwering</t>
        </is>
      </c>
      <c r="C19" s="11" t="n"/>
      <c r="D19" s="12">
        <f>SUMIFS(Begroting!$H$2:$H$105,Begroting!$A$2:$A$105,27)</f>
        <v/>
      </c>
      <c r="E19" s="12">
        <f>SUMIFS(Risicos!$I$2:$I$11,Risicos!$H$2:$H$11,27)</f>
        <v/>
      </c>
      <c r="F19" s="13">
        <f>ROUND(D19+E19,0)</f>
        <v/>
      </c>
      <c r="G19" s="10">
        <f>IF(F19&lt;=0,"FOUT: nul-bedrag niet toegestaan","ok")</f>
        <v/>
      </c>
    </row>
    <row r="20">
      <c r="A20" s="9" t="inlineStr">
        <is>
          <t>E28</t>
        </is>
      </c>
      <c r="B20" s="10" t="inlineStr">
        <is>
          <t>Realiseren vaste keukenvoorzieningen en pantry's</t>
        </is>
      </c>
      <c r="C20" s="11" t="n"/>
      <c r="D20" s="12">
        <f>SUMIFS(Begroting!$H$2:$H$105,Begroting!$A$2:$A$105,28)</f>
        <v/>
      </c>
      <c r="E20" s="12">
        <f>SUMIFS(Risicos!$I$2:$I$11,Risicos!$H$2:$H$11,28)</f>
        <v/>
      </c>
      <c r="F20" s="13">
        <f>ROUND(D20+E20,0)</f>
        <v/>
      </c>
      <c r="G20" s="10">
        <f>IF(F20&lt;=0,"FOUT: nul-bedrag niet toegestaan","ok")</f>
        <v/>
      </c>
    </row>
    <row r="21">
      <c r="A21" s="9" t="inlineStr">
        <is>
          <t>E29</t>
        </is>
      </c>
      <c r="B21" s="10" t="inlineStr">
        <is>
          <t>Realiseren douchevoorzieningen</t>
        </is>
      </c>
      <c r="C21" s="11" t="n"/>
      <c r="D21" s="12">
        <f>SUMIFS(Begroting!$H$2:$H$105,Begroting!$A$2:$A$105,29)</f>
        <v/>
      </c>
      <c r="E21" s="12">
        <f>SUMIFS(Risicos!$I$2:$I$11,Risicos!$H$2:$H$11,29)</f>
        <v/>
      </c>
      <c r="F21" s="13">
        <f>ROUND(D21+E21,0)</f>
        <v/>
      </c>
      <c r="G21" s="10">
        <f>IF(F21&lt;=0,"FOUT: nul-bedrag niet toegestaan","ok")</f>
        <v/>
      </c>
    </row>
    <row r="22">
      <c r="A22" s="9" t="inlineStr">
        <is>
          <t>E30</t>
        </is>
      </c>
      <c r="B22" s="10" t="inlineStr">
        <is>
          <t>Realiseren hekwerk terrein</t>
        </is>
      </c>
      <c r="C22" s="11" t="n"/>
      <c r="D22" s="12">
        <f>SUMIFS(Begroting!$H$2:$H$105,Begroting!$A$2:$A$105,30)</f>
        <v/>
      </c>
      <c r="E22" s="12">
        <f>SUMIFS(Risicos!$I$2:$I$11,Risicos!$H$2:$H$11,30)</f>
        <v/>
      </c>
      <c r="F22" s="13">
        <f>ROUND(D22+E22,0)</f>
        <v/>
      </c>
      <c r="G22" s="10">
        <f>IF(F22&lt;=0,"FOUT: nul-bedrag niet toegestaan","ok")</f>
        <v/>
      </c>
    </row>
    <row r="23">
      <c r="A23" s="9" t="inlineStr">
        <is>
          <t>E31</t>
        </is>
      </c>
      <c r="B23" s="10" t="inlineStr">
        <is>
          <t>Realiseren entree's, incl. bijbehorende voorzieningen</t>
        </is>
      </c>
      <c r="C23" s="11" t="n"/>
      <c r="D23" s="12">
        <f>SUMIFS(Begroting!$H$2:$H$105,Begroting!$A$2:$A$105,31)</f>
        <v/>
      </c>
      <c r="E23" s="12">
        <f>SUMIFS(Risicos!$I$2:$I$11,Risicos!$H$2:$H$11,31)</f>
        <v/>
      </c>
      <c r="F23" s="13">
        <f>ROUND(D23+E23,0)</f>
        <v/>
      </c>
      <c r="G23" s="10">
        <f>IF(F23&lt;=0,"FOUT: nul-bedrag niet toegestaan","ok")</f>
        <v/>
      </c>
    </row>
    <row r="24">
      <c r="A24" s="9" t="inlineStr">
        <is>
          <t>E32</t>
        </is>
      </c>
      <c r="B24" s="10" t="inlineStr">
        <is>
          <t>Realiseren fietsenstalling</t>
        </is>
      </c>
      <c r="C24" s="11" t="n"/>
      <c r="D24" s="12">
        <f>SUMIFS(Begroting!$H$2:$H$105,Begroting!$A$2:$A$105,32)</f>
        <v/>
      </c>
      <c r="E24" s="12">
        <f>SUMIFS(Risicos!$I$2:$I$11,Risicos!$H$2:$H$11,32)</f>
        <v/>
      </c>
      <c r="F24" s="13">
        <f>ROUND(D24+E24,0)</f>
        <v/>
      </c>
      <c r="G24" s="10">
        <f>IF(F24&lt;=0,"FOUT: nul-bedrag niet toegestaan","ok")</f>
        <v/>
      </c>
    </row>
    <row r="25">
      <c r="A25" s="9" t="inlineStr">
        <is>
          <t>E33</t>
        </is>
      </c>
      <c r="B25" s="10" t="inlineStr">
        <is>
          <t>Doorvoeringen inbranden voor de installaties</t>
        </is>
      </c>
      <c r="C25" s="11" t="n"/>
      <c r="D25" s="12">
        <f>SUMIFS(Begroting!$H$2:$H$105,Begroting!$A$2:$A$105,33)</f>
        <v/>
      </c>
      <c r="E25" s="12">
        <f>SUMIFS(Risicos!$I$2:$I$11,Risicos!$H$2:$H$11,33)</f>
        <v/>
      </c>
      <c r="F25" s="13">
        <f>ROUND(D25+E25,0)</f>
        <v/>
      </c>
      <c r="G25" s="10">
        <f>IF(F25&lt;=0,"FOUT: nul-bedrag niet toegestaan","ok")</f>
        <v/>
      </c>
    </row>
    <row r="26">
      <c r="A26" s="9" t="inlineStr">
        <is>
          <t>E34</t>
        </is>
      </c>
      <c r="B26" s="10" t="inlineStr">
        <is>
          <t>Evt. andere bijkomende kosten (bouwkundig)</t>
        </is>
      </c>
      <c r="C26" s="11" t="n"/>
      <c r="D26" s="12">
        <f>SUMIFS(Begroting!$H$2:$H$105,Begroting!$A$2:$A$105,34)</f>
        <v/>
      </c>
      <c r="E26" s="12">
        <f>SUMIFS(Risicos!$I$2:$I$11,Risicos!$H$2:$H$11,34)</f>
        <v/>
      </c>
      <c r="F26" s="13">
        <f>ROUND(D26+E26,0)</f>
        <v/>
      </c>
      <c r="G26" s="10">
        <f>IF(F26&lt;=0,"FOUT: nul-bedrag niet toegestaan","ok")</f>
        <v/>
      </c>
    </row>
    <row r="27">
      <c r="A27" s="6" t="n"/>
      <c r="B27" s="7" t="inlineStr">
        <is>
          <t>Overige en bijkomende kosten</t>
        </is>
      </c>
      <c r="C27" s="6" t="n"/>
      <c r="D27" s="6" t="n"/>
      <c r="E27" s="6" t="n"/>
      <c r="F27" s="8">
        <f>F28+F29+F30+F31+F32+F33</f>
        <v/>
      </c>
      <c r="G27" s="6" t="n"/>
    </row>
    <row r="28">
      <c r="A28" s="9" t="inlineStr">
        <is>
          <t>E36</t>
        </is>
      </c>
      <c r="B28" s="10" t="inlineStr">
        <is>
          <t>Engineering en coördinatiekosten</t>
        </is>
      </c>
      <c r="C28" s="11" t="n"/>
      <c r="D28" s="12">
        <f>SUMIFS(Begroting!$H$2:$H$105,Begroting!$A$2:$A$105,36)</f>
        <v/>
      </c>
      <c r="E28" s="12">
        <f>SUMIFS(Risicos!$I$2:$I$11,Risicos!$H$2:$H$11,36)</f>
        <v/>
      </c>
      <c r="F28" s="13">
        <f>ROUND(D28+E28,0)</f>
        <v/>
      </c>
      <c r="G28" s="10">
        <f>IF(F28&lt;=0,"FOUT: nul-bedrag niet toegestaan","ok")</f>
        <v/>
      </c>
    </row>
    <row r="29">
      <c r="A29" s="9" t="inlineStr">
        <is>
          <t>E37</t>
        </is>
      </c>
      <c r="B29" s="10" t="inlineStr">
        <is>
          <t>Revisietekeningen</t>
        </is>
      </c>
      <c r="C29" s="11" t="n"/>
      <c r="D29" s="12">
        <f>SUMIFS(Begroting!$H$2:$H$105,Begroting!$A$2:$A$105,37)</f>
        <v/>
      </c>
      <c r="E29" s="12">
        <f>SUMIFS(Risicos!$I$2:$I$11,Risicos!$H$2:$H$11,37)</f>
        <v/>
      </c>
      <c r="F29" s="13">
        <f>ROUND(D29+E29,0)</f>
        <v/>
      </c>
      <c r="G29" s="10">
        <f>IF(F29&lt;=0,"FOUT: nul-bedrag niet toegestaan","ok")</f>
        <v/>
      </c>
    </row>
    <row r="30">
      <c r="A30" s="9" t="inlineStr">
        <is>
          <t>E38</t>
        </is>
      </c>
      <c r="B30" s="10" t="inlineStr">
        <is>
          <t>Algemene Bouwplaatskosten (ABK)</t>
        </is>
      </c>
      <c r="C30" s="11" t="n"/>
      <c r="D30" s="12">
        <f>SUMIFS(Begroting!$H$2:$H$105,Begroting!$A$2:$A$105,38)</f>
        <v/>
      </c>
      <c r="E30" s="12">
        <f>SUMIFS(Risicos!$I$2:$I$11,Risicos!$H$2:$H$11,38)</f>
        <v/>
      </c>
      <c r="F30" s="13">
        <f>ROUND(D30+E30,0)</f>
        <v/>
      </c>
      <c r="G30" s="10">
        <f>IF(F30&lt;=0,"FOUT: nul-bedrag niet toegestaan","ok")</f>
        <v/>
      </c>
    </row>
    <row r="31">
      <c r="A31" s="9" t="inlineStr">
        <is>
          <t>E39 / D39</t>
        </is>
      </c>
      <c r="B31" s="10" t="inlineStr">
        <is>
          <t>Algemene Kosten (AK) – % over directe kosten incl. ABK</t>
        </is>
      </c>
      <c r="C31" s="14" t="n">
        <v>0.07000000000000001</v>
      </c>
      <c r="D31" s="11" t="n"/>
      <c r="E31" s="11" t="n"/>
      <c r="F31" s="13">
        <f>ROUND(C31*(F4+F14+F28+F29+F30),0)</f>
        <v/>
      </c>
      <c r="G31" s="15">
        <f>IF(F31&lt;=0,"FOUT: nul-bedrag niet toegestaan","ok")</f>
        <v/>
      </c>
    </row>
    <row r="32">
      <c r="A32" s="9" t="inlineStr">
        <is>
          <t>E40 / D40</t>
        </is>
      </c>
      <c r="B32" s="10" t="inlineStr">
        <is>
          <t>Winst en Risico (W&amp;R) – % over directe kosten + AK</t>
        </is>
      </c>
      <c r="C32" s="14" t="n">
        <v>0.03</v>
      </c>
      <c r="D32" s="11" t="n"/>
      <c r="E32" s="11" t="n"/>
      <c r="F32" s="13">
        <f>ROUND(C32*((F4+F14+F28+F29+F30)+F31),0)</f>
        <v/>
      </c>
      <c r="G32" s="15">
        <f>IF(F32&lt;=0,"FOUT: nul-bedrag niet toegestaan","ok")</f>
        <v/>
      </c>
    </row>
    <row r="33">
      <c r="A33" s="9" t="inlineStr">
        <is>
          <t>E41 / D41</t>
        </is>
      </c>
      <c r="B33" s="10" t="inlineStr">
        <is>
          <t>CAR – % over directe kosten + AK + W&amp;R</t>
        </is>
      </c>
      <c r="C33" s="14" t="n">
        <v>0.0025</v>
      </c>
      <c r="D33" s="11" t="n"/>
      <c r="E33" s="11" t="n"/>
      <c r="F33" s="13">
        <f>ROUND(C33*((F4+F14+F28+F29+F30)+F31+F32),0)</f>
        <v/>
      </c>
      <c r="G33" s="15">
        <f>IF(F33&lt;=0,"FOUT: nul-bedrag niet toegestaan","ok")</f>
        <v/>
      </c>
    </row>
    <row r="34"/>
    <row r="35">
      <c r="B35" s="16" t="inlineStr">
        <is>
          <t>Totaal exclusief BTW (= inschrijfbedrag, cel E43 formulier)</t>
        </is>
      </c>
      <c r="F35" s="17">
        <f>F4+F14+F27</f>
        <v/>
      </c>
    </row>
    <row r="36">
      <c r="B36" s="18" t="inlineStr">
        <is>
          <t>Controle: aantal regels met nul-bedrag</t>
        </is>
      </c>
      <c r="F36" s="18">
        <f>COUNTIF(G4:G33,"FOUT*")</f>
        <v/>
      </c>
    </row>
    <row r="37"/>
    <row r="38">
      <c r="B38" s="16" t="inlineStr">
        <is>
          <t>Kengetallen ter controle</t>
        </is>
      </c>
    </row>
    <row r="39">
      <c r="B39" s="18" t="inlineStr">
        <is>
          <t>Verbouwd vloeroppervlak BG (m²) – E&amp;W 4.1.1</t>
        </is>
      </c>
      <c r="C39" s="19" t="n">
        <v>1290</v>
      </c>
    </row>
    <row r="40">
      <c r="B40" s="18" t="inlineStr">
        <is>
          <t>Aantal slaapkamers / eenheden – BBN 2.1</t>
        </is>
      </c>
      <c r="C40" s="19" t="n">
        <v>29</v>
      </c>
    </row>
    <row r="41">
      <c r="B41" s="18" t="inlineStr">
        <is>
          <t>Inschrijfbedrag per m² verbouwd</t>
        </is>
      </c>
      <c r="F41" s="20">
        <f>F35/C39</f>
        <v/>
      </c>
    </row>
    <row r="42">
      <c r="B42" s="18" t="inlineStr">
        <is>
          <t>Inschrijfbedrag per eenheid</t>
        </is>
      </c>
      <c r="F42" s="20">
        <f>F35/C40</f>
        <v/>
      </c>
    </row>
    <row r="43">
      <c r="B43" s="18" t="inlineStr">
        <is>
          <t>Aandeel installaties in directe kosten</t>
        </is>
      </c>
      <c r="F43" s="21">
        <f>F4/(F4+F14+F28+F29+F30)</f>
        <v/>
      </c>
    </row>
    <row r="44">
      <c r="B44" s="18" t="inlineStr">
        <is>
          <t>Aandeel meegeprijsde risico's in totaal</t>
        </is>
      </c>
      <c r="F44" s="21">
        <f>Risicos!I13/F35</f>
        <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2" customWidth="1" min="3" max="3"/>
    <col width="20" customWidth="1" min="4" max="4"/>
    <col width="7" customWidth="1" min="5" max="5"/>
    <col width="11" customWidth="1" min="6" max="6"/>
    <col width="13" customWidth="1" min="7" max="7"/>
    <col width="14" customWidth="1" min="8" max="8"/>
    <col width="22" customWidth="1" min="9" max="9"/>
    <col width="22" customWidth="1" min="10" max="10"/>
    <col width="58" customWidth="1" min="11" max="11"/>
  </cols>
  <sheetData>
    <row r="1">
      <c r="A1" s="22" t="inlineStr">
        <is>
          <t>Post</t>
        </is>
      </c>
      <c r="B1" s="22" t="inlineStr">
        <is>
          <t>Inschrijfstaat-regel</t>
        </is>
      </c>
      <c r="C1" s="22" t="inlineStr">
        <is>
          <t>Omschrijving</t>
        </is>
      </c>
      <c r="D1" s="22" t="inlineStr">
        <is>
          <t>Bron (§)</t>
        </is>
      </c>
      <c r="E1" s="22" t="inlineStr">
        <is>
          <t>Eenh.</t>
        </is>
      </c>
      <c r="F1" s="22" t="inlineStr">
        <is>
          <t>Hoeveelheid</t>
        </is>
      </c>
      <c r="G1" s="22" t="inlineStr">
        <is>
          <t>Eenheidsprijs</t>
        </is>
      </c>
      <c r="H1" s="22" t="inlineStr">
        <is>
          <t>Bedrag</t>
        </is>
      </c>
      <c r="I1" s="22" t="inlineStr">
        <is>
          <t>Uitvoering</t>
        </is>
      </c>
      <c r="J1" s="22" t="inlineStr">
        <is>
          <t>Status prijs</t>
        </is>
      </c>
      <c r="K1" s="22" t="inlineStr">
        <is>
          <t>Opmerking / aandachtspunt</t>
        </is>
      </c>
    </row>
    <row r="2">
      <c r="A2" s="23" t="n">
        <v>13</v>
      </c>
      <c r="B2" s="23" t="inlineStr">
        <is>
          <t>Ruimteverwarming en -koeling</t>
        </is>
      </c>
      <c r="C2" s="23" t="inlineStr">
        <is>
          <t>Nieuwe ventilatorconvector CIAT Major MAJ2 430, incl. 4 aftakkingen hoofdtracé, drukgecomp. regelafsluiter, afsluiters, Raminex-flex, isolatie</t>
        </is>
      </c>
      <c r="D2" s="23" t="inlineStr">
        <is>
          <t>E&amp;W 7.1/7.4.2</t>
        </is>
      </c>
      <c r="E2" s="23" t="inlineStr">
        <is>
          <t>st</t>
        </is>
      </c>
      <c r="F2" s="24" t="n">
        <v>20</v>
      </c>
      <c r="G2" s="25" t="n">
        <v>4200</v>
      </c>
      <c r="H2" s="26">
        <f>F2*G2</f>
        <v/>
      </c>
      <c r="I2" s="23" t="inlineStr">
        <is>
          <t>OA W-installateur</t>
        </is>
      </c>
      <c r="J2" s="23" t="inlineStr">
        <is>
          <t>Richtprijs</t>
        </is>
      </c>
      <c r="K2" s="23" t="inlineStr">
        <is>
          <t>Aantal nieuw vs. te verplaatsen uittellen op W-tekeningen; bestek zegt: uitgaan van grootste bouwgrootte</t>
        </is>
      </c>
    </row>
    <row r="3">
      <c r="A3" s="23" t="n">
        <v>13</v>
      </c>
      <c r="B3" s="23" t="inlineStr">
        <is>
          <t>Ruimteverwarming en -koeling</t>
        </is>
      </c>
      <c r="C3" s="23" t="inlineStr">
        <is>
          <t>Bestaande ventilatorconvector demonteren en in zelfde ruimte terugplaatsen, incl. nieuwe regel-/inregelafsluiters</t>
        </is>
      </c>
      <c r="D3" s="23" t="inlineStr">
        <is>
          <t>E&amp;W 5.7/7.1</t>
        </is>
      </c>
      <c r="E3" s="23" t="inlineStr">
        <is>
          <t>st</t>
        </is>
      </c>
      <c r="F3" s="24" t="n">
        <v>15</v>
      </c>
      <c r="G3" s="25" t="n">
        <v>1400</v>
      </c>
      <c r="H3" s="26">
        <f>F3*G3</f>
        <v/>
      </c>
      <c r="I3" s="23" t="inlineStr">
        <is>
          <t>OA W-installateur</t>
        </is>
      </c>
      <c r="J3" s="23" t="inlineStr">
        <is>
          <t>Richtprijs</t>
        </is>
      </c>
      <c r="K3" s="23" t="inlineStr">
        <is>
          <t>Aantal uittellen op tekening</t>
        </is>
      </c>
    </row>
    <row r="4">
      <c r="A4" s="23" t="n">
        <v>13</v>
      </c>
      <c r="B4" s="23" t="inlineStr">
        <is>
          <t>Ruimteverwarming en -koeling</t>
        </is>
      </c>
      <c r="C4" s="23" t="inlineStr">
        <is>
          <t>Kanaalverwarmer/-koeler 4-pijps (ruimten 0.04, 0.05, 0.44, 0.45, 0.62, 0.63)</t>
        </is>
      </c>
      <c r="D4" s="23" t="inlineStr">
        <is>
          <t>E&amp;W 7.1</t>
        </is>
      </c>
      <c r="E4" s="23" t="inlineStr">
        <is>
          <t>st</t>
        </is>
      </c>
      <c r="F4" s="24" t="n">
        <v>6</v>
      </c>
      <c r="G4" s="25" t="n">
        <v>2800</v>
      </c>
      <c r="H4" s="26">
        <f>F4*G4</f>
        <v/>
      </c>
      <c r="I4" s="23" t="inlineStr">
        <is>
          <t>OA W-installateur</t>
        </is>
      </c>
      <c r="J4" s="23" t="inlineStr">
        <is>
          <t>Richtprijs</t>
        </is>
      </c>
      <c r="K4" s="23" t="inlineStr">
        <is>
          <t>7.1 noemt 6 ruimten, 7.4.2 noemt er 5 (0.63 ontbreekt) – 6 aangehouden</t>
        </is>
      </c>
    </row>
    <row r="5">
      <c r="A5" s="23" t="n">
        <v>13</v>
      </c>
      <c r="B5" s="23" t="inlineStr">
        <is>
          <t>Ruimteverwarming en -koeling</t>
        </is>
      </c>
      <c r="C5" s="23" t="inlineStr">
        <is>
          <t>Ruimtethermostaat CIAT 99DAsei incl. inbouw in brandwerende wand</t>
        </is>
      </c>
      <c r="D5" s="23" t="inlineStr">
        <is>
          <t>E&amp;W 9.2.3</t>
        </is>
      </c>
      <c r="E5" s="23" t="inlineStr">
        <is>
          <t>st</t>
        </is>
      </c>
      <c r="F5" s="24" t="n">
        <v>35</v>
      </c>
      <c r="G5" s="25" t="n">
        <v>190</v>
      </c>
      <c r="H5" s="26">
        <f>F5*G5</f>
        <v/>
      </c>
      <c r="I5" s="23" t="inlineStr">
        <is>
          <t>OA W-installateur</t>
        </is>
      </c>
      <c r="J5" s="23" t="inlineStr">
        <is>
          <t>Richtprijs</t>
        </is>
      </c>
      <c r="K5" s="23" t="inlineStr"/>
    </row>
    <row r="6">
      <c r="A6" s="23" t="n">
        <v>13</v>
      </c>
      <c r="B6" s="23" t="inlineStr">
        <is>
          <t>Ruimteverwarming en -koeling</t>
        </is>
      </c>
      <c r="C6" s="23" t="inlineStr">
        <is>
          <t>Vloerverwarming: IR-scan, revisietekening, groepen douchezones dichtzetten, PvA</t>
        </is>
      </c>
      <c r="D6" s="23" t="inlineStr">
        <is>
          <t>E&amp;W 7.3 / BBN 3.2.1</t>
        </is>
      </c>
      <c r="E6" s="23" t="inlineStr">
        <is>
          <t>post</t>
        </is>
      </c>
      <c r="F6" s="24" t="n">
        <v>1</v>
      </c>
      <c r="G6" s="25" t="n">
        <v>6500</v>
      </c>
      <c r="H6" s="26">
        <f>F6*G6</f>
        <v/>
      </c>
      <c r="I6" s="23" t="inlineStr">
        <is>
          <t>OA W-installateur</t>
        </is>
      </c>
      <c r="J6" s="23" t="inlineStr">
        <is>
          <t>Richtprijs</t>
        </is>
      </c>
      <c r="K6" s="23" t="inlineStr">
        <is>
          <t>PvA vloerverwarming is verplicht onderdeel van de aanbieding!</t>
        </is>
      </c>
    </row>
    <row r="7">
      <c r="A7" s="23" t="n">
        <v>13</v>
      </c>
      <c r="B7" s="23" t="inlineStr">
        <is>
          <t>Ruimteverwarming en -koeling</t>
        </is>
      </c>
      <c r="C7" s="23" t="inlineStr">
        <is>
          <t>Waterzijdig inregelen CV/GKW BG + rapport met debiet per bouwlaag (Delta-P)</t>
        </is>
      </c>
      <c r="D7" s="23" t="inlineStr">
        <is>
          <t>E&amp;W 4.2.2/7.5</t>
        </is>
      </c>
      <c r="E7" s="23" t="inlineStr">
        <is>
          <t>post</t>
        </is>
      </c>
      <c r="F7" s="24" t="n">
        <v>1</v>
      </c>
      <c r="G7" s="25" t="n">
        <v>7500</v>
      </c>
      <c r="H7" s="26">
        <f>F7*G7</f>
        <v/>
      </c>
      <c r="I7" s="23" t="inlineStr">
        <is>
          <t>Delta-P (voorgeschreven)</t>
        </is>
      </c>
      <c r="J7" s="23" t="inlineStr">
        <is>
          <t>Offerte aanvragen</t>
        </is>
      </c>
      <c r="K7" s="23" t="inlineStr">
        <is>
          <t>Delta-P is voorgeschreven: offerte opvragen</t>
        </is>
      </c>
    </row>
    <row r="8">
      <c r="A8" s="23" t="n">
        <v>13</v>
      </c>
      <c r="B8" s="23" t="inlineStr">
        <is>
          <t>Ruimteverwarming en -koeling</t>
        </is>
      </c>
      <c r="C8" s="23" t="inlineStr">
        <is>
          <t>Condensafvoeren ventilatorconvectoren met sifon op VWA-stelsel</t>
        </is>
      </c>
      <c r="D8" s="23" t="inlineStr">
        <is>
          <t>E&amp;W 6.1.1</t>
        </is>
      </c>
      <c r="E8" s="23" t="inlineStr">
        <is>
          <t>st</t>
        </is>
      </c>
      <c r="F8" s="24" t="n">
        <v>35</v>
      </c>
      <c r="G8" s="25" t="n">
        <v>220</v>
      </c>
      <c r="H8" s="26">
        <f>F8*G8</f>
        <v/>
      </c>
      <c r="I8" s="23" t="inlineStr">
        <is>
          <t>OA W-installateur</t>
        </is>
      </c>
      <c r="J8" s="23" t="inlineStr">
        <is>
          <t>Richtprijs</t>
        </is>
      </c>
      <c r="K8" s="23" t="inlineStr"/>
    </row>
    <row r="9">
      <c r="A9" s="23" t="n">
        <v>14</v>
      </c>
      <c r="B9" s="23" t="inlineStr">
        <is>
          <t>Warmtapwaterinstallatie</t>
        </is>
      </c>
      <c r="C9" s="23" t="inlineStr">
        <is>
          <t>Nieuwe deelring warmtapwater-circulatie BG + koudwaterstelsel boven plafond (koper, pers), afsluiters per strang, isolatie</t>
        </is>
      </c>
      <c r="D9" s="23" t="inlineStr">
        <is>
          <t>E&amp;W 6.2.4</t>
        </is>
      </c>
      <c r="E9" s="23" t="inlineStr">
        <is>
          <t>post</t>
        </is>
      </c>
      <c r="F9" s="24" t="n">
        <v>1</v>
      </c>
      <c r="G9" s="25" t="n">
        <v>19500</v>
      </c>
      <c r="H9" s="26">
        <f>F9*G9</f>
        <v/>
      </c>
      <c r="I9" s="23" t="inlineStr">
        <is>
          <t>OA W-installateur</t>
        </is>
      </c>
      <c r="J9" s="23" t="inlineStr">
        <is>
          <t>Richtprijs</t>
        </is>
      </c>
      <c r="K9" s="23" t="inlineStr">
        <is>
          <t>Aftakken vanaf schacht noord/midden/zuid; MMV-tapwaterberekening</t>
        </is>
      </c>
    </row>
    <row r="10">
      <c r="A10" s="23" t="n">
        <v>14</v>
      </c>
      <c r="B10" s="23" t="inlineStr">
        <is>
          <t>Warmtapwaterinstallatie</t>
        </is>
      </c>
      <c r="C10" s="23" t="inlineStr">
        <is>
          <t>Douche-aansluiting warm/koud incl. afvoer (0.42, 0.70, 0.71)</t>
        </is>
      </c>
      <c r="D10" s="23" t="inlineStr">
        <is>
          <t>E&amp;W 6.1/6.2</t>
        </is>
      </c>
      <c r="E10" s="23" t="inlineStr">
        <is>
          <t>st</t>
        </is>
      </c>
      <c r="F10" s="24" t="n">
        <v>8</v>
      </c>
      <c r="G10" s="25" t="n">
        <v>1500</v>
      </c>
      <c r="H10" s="26">
        <f>F10*G10</f>
        <v/>
      </c>
      <c r="I10" s="23" t="inlineStr">
        <is>
          <t>OA W-installateur</t>
        </is>
      </c>
      <c r="J10" s="23" t="inlineStr">
        <is>
          <t>Richtprijs</t>
        </is>
      </c>
      <c r="K10" s="23" t="inlineStr">
        <is>
          <t>Aantal douches uittellen op T.0.01</t>
        </is>
      </c>
    </row>
    <row r="11">
      <c r="A11" s="23" t="n">
        <v>14</v>
      </c>
      <c r="B11" s="23" t="inlineStr">
        <is>
          <t>Warmtapwaterinstallatie</t>
        </is>
      </c>
      <c r="C11" s="23" t="inlineStr">
        <is>
          <t>Legionellapreventie De Melker M-Check per douche</t>
        </is>
      </c>
      <c r="D11" s="23" t="inlineStr">
        <is>
          <t>E&amp;W 6.2.1/9.3</t>
        </is>
      </c>
      <c r="E11" s="23" t="inlineStr">
        <is>
          <t>st</t>
        </is>
      </c>
      <c r="F11" s="24" t="n">
        <v>8</v>
      </c>
      <c r="G11" s="25" t="n">
        <v>1150</v>
      </c>
      <c r="H11" s="26">
        <f>F11*G11</f>
        <v/>
      </c>
      <c r="I11" s="23" t="inlineStr">
        <is>
          <t>OA W-installateur</t>
        </is>
      </c>
      <c r="J11" s="23" t="inlineStr">
        <is>
          <t>Offerte aanvragen</t>
        </is>
      </c>
      <c r="K11" s="23" t="inlineStr">
        <is>
          <t>Voorgeschreven fabricaat</t>
        </is>
      </c>
    </row>
    <row r="12">
      <c r="A12" s="23" t="n">
        <v>14</v>
      </c>
      <c r="B12" s="23" t="inlineStr">
        <is>
          <t>Warmtapwaterinstallatie</t>
        </is>
      </c>
      <c r="C12" s="23" t="inlineStr">
        <is>
          <t>M-Check centrale regelmodule / samenvoeging zones</t>
        </is>
      </c>
      <c r="D12" s="23" t="inlineStr">
        <is>
          <t>E&amp;W 9.3.3</t>
        </is>
      </c>
      <c r="E12" s="23" t="inlineStr">
        <is>
          <t>st</t>
        </is>
      </c>
      <c r="F12" s="24" t="n">
        <v>1</v>
      </c>
      <c r="G12" s="25" t="n">
        <v>2500</v>
      </c>
      <c r="H12" s="26">
        <f>F12*G12</f>
        <v/>
      </c>
      <c r="I12" s="23" t="inlineStr">
        <is>
          <t>OA W-installateur</t>
        </is>
      </c>
      <c r="J12" s="23" t="inlineStr">
        <is>
          <t>Offerte aanvragen</t>
        </is>
      </c>
      <c r="K12" s="23" t="inlineStr"/>
    </row>
    <row r="13">
      <c r="A13" s="23" t="n">
        <v>14</v>
      </c>
      <c r="B13" s="23" t="inlineStr">
        <is>
          <t>Warmtapwaterinstallatie</t>
        </is>
      </c>
      <c r="C13" s="23" t="inlineStr">
        <is>
          <t>Wastafels ruimte 0.42 incl. toestel en aansluiting</t>
        </is>
      </c>
      <c r="D13" s="23" t="inlineStr">
        <is>
          <t>E&amp;W 6.1/6.3</t>
        </is>
      </c>
      <c r="E13" s="23" t="inlineStr">
        <is>
          <t>st</t>
        </is>
      </c>
      <c r="F13" s="24" t="n">
        <v>4</v>
      </c>
      <c r="G13" s="25" t="n">
        <v>950</v>
      </c>
      <c r="H13" s="26">
        <f>F13*G13</f>
        <v/>
      </c>
      <c r="I13" s="23" t="inlineStr">
        <is>
          <t>OA W-installateur</t>
        </is>
      </c>
      <c r="J13" s="23" t="inlineStr">
        <is>
          <t>Richtprijs</t>
        </is>
      </c>
      <c r="K13" s="23" t="inlineStr">
        <is>
          <t>Aantal uittellen</t>
        </is>
      </c>
    </row>
    <row r="14">
      <c r="A14" s="23" t="n">
        <v>14</v>
      </c>
      <c r="B14" s="23" t="inlineStr">
        <is>
          <t>Warmtapwaterinstallatie</t>
        </is>
      </c>
      <c r="C14" s="23" t="inlineStr">
        <is>
          <t>Aansluiten aanrechten 0.24, 0.64 en pantry 0.01 (warm/koud + afvoer; 0.24 via nieuw tracé naar vetafscheider)</t>
        </is>
      </c>
      <c r="D14" s="23" t="inlineStr">
        <is>
          <t>E&amp;W 6.1.1</t>
        </is>
      </c>
      <c r="E14" s="23" t="inlineStr">
        <is>
          <t>st</t>
        </is>
      </c>
      <c r="F14" s="24" t="n">
        <v>3</v>
      </c>
      <c r="G14" s="25" t="n">
        <v>1300</v>
      </c>
      <c r="H14" s="26">
        <f>F14*G14</f>
        <v/>
      </c>
      <c r="I14" s="23" t="inlineStr">
        <is>
          <t>OA W-installateur</t>
        </is>
      </c>
      <c r="J14" s="23" t="inlineStr">
        <is>
          <t>Richtprijs</t>
        </is>
      </c>
      <c r="K14" s="23" t="inlineStr"/>
    </row>
    <row r="15">
      <c r="A15" s="23" t="n">
        <v>14</v>
      </c>
      <c r="B15" s="23" t="inlineStr">
        <is>
          <t>Warmtapwaterinstallatie</t>
        </is>
      </c>
      <c r="C15" s="23" t="inlineStr">
        <is>
          <t>Wasmachine-aansluitingen 0.57 incl. nieuwe afvoer (boren i.c.m. vloerverwarming)</t>
        </is>
      </c>
      <c r="D15" s="23" t="inlineStr">
        <is>
          <t>E&amp;W 6.1.1</t>
        </is>
      </c>
      <c r="E15" s="23" t="inlineStr">
        <is>
          <t>st</t>
        </is>
      </c>
      <c r="F15" s="24" t="n">
        <v>4</v>
      </c>
      <c r="G15" s="25" t="n">
        <v>1150</v>
      </c>
      <c r="H15" s="26">
        <f>F15*G15</f>
        <v/>
      </c>
      <c r="I15" s="23" t="inlineStr">
        <is>
          <t>OA W-installateur</t>
        </is>
      </c>
      <c r="J15" s="23" t="inlineStr">
        <is>
          <t>Richtprijs</t>
        </is>
      </c>
      <c r="K15" s="23" t="inlineStr">
        <is>
          <t>Aantal wasmachines uittellen</t>
        </is>
      </c>
    </row>
    <row r="16">
      <c r="A16" s="23" t="n">
        <v>14</v>
      </c>
      <c r="B16" s="23" t="inlineStr">
        <is>
          <t>Warmtapwaterinstallatie</t>
        </is>
      </c>
      <c r="C16" s="23" t="inlineStr">
        <is>
          <t>Closets 0.66/0.67 aansluiten, kinderclosets demonteren/afdoppen (0.66, 0.67, 0.70, 0.71)</t>
        </is>
      </c>
      <c r="D16" s="23" t="inlineStr">
        <is>
          <t>E&amp;W 5.4/5.5</t>
        </is>
      </c>
      <c r="E16" s="23" t="inlineStr">
        <is>
          <t>post</t>
        </is>
      </c>
      <c r="F16" s="24" t="n">
        <v>1</v>
      </c>
      <c r="G16" s="25" t="n">
        <v>3200</v>
      </c>
      <c r="H16" s="26">
        <f>F16*G16</f>
        <v/>
      </c>
      <c r="I16" s="23" t="inlineStr">
        <is>
          <t>OA W-installateur</t>
        </is>
      </c>
      <c r="J16" s="23" t="inlineStr">
        <is>
          <t>Richtprijs</t>
        </is>
      </c>
      <c r="K16" s="23" t="inlineStr"/>
    </row>
    <row r="17">
      <c r="A17" s="23" t="n">
        <v>14</v>
      </c>
      <c r="B17" s="23" t="inlineStr">
        <is>
          <t>Warmtapwaterinstallatie</t>
        </is>
      </c>
      <c r="C17" s="23" t="inlineStr">
        <is>
          <t>Uitbreiding VWA-stelsel (PVC / Dyka Sono in plafonds), brandmanchetten</t>
        </is>
      </c>
      <c r="D17" s="23" t="inlineStr">
        <is>
          <t>E&amp;W 6.1.3</t>
        </is>
      </c>
      <c r="E17" s="23" t="inlineStr">
        <is>
          <t>post</t>
        </is>
      </c>
      <c r="F17" s="24" t="n">
        <v>1</v>
      </c>
      <c r="G17" s="25" t="n">
        <v>9500</v>
      </c>
      <c r="H17" s="26">
        <f>F17*G17</f>
        <v/>
      </c>
      <c r="I17" s="23" t="inlineStr">
        <is>
          <t>OA W-installateur</t>
        </is>
      </c>
      <c r="J17" s="23" t="inlineStr">
        <is>
          <t>Richtprijs</t>
        </is>
      </c>
      <c r="K17" s="23" t="inlineStr"/>
    </row>
    <row r="18">
      <c r="A18" s="23" t="n">
        <v>14</v>
      </c>
      <c r="B18" s="23" t="inlineStr">
        <is>
          <t>Warmtapwaterinstallatie</t>
        </is>
      </c>
      <c r="C18" s="23" t="inlineStr">
        <is>
          <t>Afpersen, spoelen, legionellabemonstering + vrijverklaring</t>
        </is>
      </c>
      <c r="D18" s="23" t="inlineStr">
        <is>
          <t>E&amp;W 6.2.5</t>
        </is>
      </c>
      <c r="E18" s="23" t="inlineStr">
        <is>
          <t>post</t>
        </is>
      </c>
      <c r="F18" s="24" t="n">
        <v>1</v>
      </c>
      <c r="G18" s="25" t="n">
        <v>1500</v>
      </c>
      <c r="H18" s="26">
        <f>F18*G18</f>
        <v/>
      </c>
      <c r="I18" s="23" t="inlineStr">
        <is>
          <t>OA W-installateur</t>
        </is>
      </c>
      <c r="J18" s="23" t="inlineStr">
        <is>
          <t>Richtprijs</t>
        </is>
      </c>
      <c r="K18" s="23" t="inlineStr"/>
    </row>
    <row r="19">
      <c r="A19" s="23" t="n">
        <v>15</v>
      </c>
      <c r="B19" s="23" t="inlineStr">
        <is>
          <t>Luchtbehandelingskast / ventilatie-installatie, incl. kanaalwerk</t>
        </is>
      </c>
      <c r="C19" s="23" t="inlineStr">
        <is>
          <t>Demontage kanalen, roosters en appendages BG conform demontagetekeningen, afplakken kanaalsysteem</t>
        </is>
      </c>
      <c r="D19" s="23" t="inlineStr">
        <is>
          <t>E&amp;W 5.8</t>
        </is>
      </c>
      <c r="E19" s="23" t="inlineStr">
        <is>
          <t>post</t>
        </is>
      </c>
      <c r="F19" s="24" t="n">
        <v>1</v>
      </c>
      <c r="G19" s="25" t="n">
        <v>6500</v>
      </c>
      <c r="H19" s="26">
        <f>F19*G19</f>
        <v/>
      </c>
      <c r="I19" s="23" t="inlineStr">
        <is>
          <t>OA W-installateur</t>
        </is>
      </c>
      <c r="J19" s="23" t="inlineStr">
        <is>
          <t>Richtprijs</t>
        </is>
      </c>
      <c r="K19" s="23" t="inlineStr"/>
    </row>
    <row r="20">
      <c r="A20" s="23" t="n">
        <v>15</v>
      </c>
      <c r="B20" s="23" t="inlineStr">
        <is>
          <t>Luchtbehandelingskast / ventilatie-installatie, incl. kanaalwerk</t>
        </is>
      </c>
      <c r="C20" s="23" t="inlineStr">
        <is>
          <t>Nieuw kanalenstelsel verzinkt klasse C vanaf schachtuittrede, per ruimte (toevoer + retour/overstroom), incl. isolatie toevoer</t>
        </is>
      </c>
      <c r="D20" s="23" t="inlineStr">
        <is>
          <t>E&amp;W 8.1/8.4.5/8.7</t>
        </is>
      </c>
      <c r="E20" s="23" t="inlineStr">
        <is>
          <t>ruimte</t>
        </is>
      </c>
      <c r="F20" s="24" t="n">
        <v>35</v>
      </c>
      <c r="G20" s="25" t="n">
        <v>1350</v>
      </c>
      <c r="H20" s="26">
        <f>F20*G20</f>
        <v/>
      </c>
      <c r="I20" s="23" t="inlineStr">
        <is>
          <t>OA W-installateur</t>
        </is>
      </c>
      <c r="J20" s="23" t="inlineStr">
        <is>
          <t>Richtprijs</t>
        </is>
      </c>
      <c r="K20" s="23" t="inlineStr">
        <is>
          <t>Kanaallengtes uittrekken op L.0.01A/B</t>
        </is>
      </c>
    </row>
    <row r="21">
      <c r="A21" s="23" t="n">
        <v>15</v>
      </c>
      <c r="B21" s="23" t="inlineStr">
        <is>
          <t>Luchtbehandelingskast / ventilatie-installatie, incl. kanaalwerk</t>
        </is>
      </c>
      <c r="C21" s="23" t="inlineStr">
        <is>
          <t>Brandklep Solid Air FDC motorbediend 24V veerteruggang (toevoer + retour per kamerwand)</t>
        </is>
      </c>
      <c r="D21" s="23" t="inlineStr">
        <is>
          <t>E&amp;W 8.4.2/9.4</t>
        </is>
      </c>
      <c r="E21" s="23" t="inlineStr">
        <is>
          <t>st</t>
        </is>
      </c>
      <c r="F21" s="24" t="n">
        <v>62</v>
      </c>
      <c r="G21" s="25" t="n">
        <v>780</v>
      </c>
      <c r="H21" s="26">
        <f>F21*G21</f>
        <v/>
      </c>
      <c r="I21" s="23" t="inlineStr">
        <is>
          <t>OA W-installateur</t>
        </is>
      </c>
      <c r="J21" s="23" t="inlineStr">
        <is>
          <t>Offerte aanvragen</t>
        </is>
      </c>
      <c r="K21" s="23" t="inlineStr">
        <is>
          <t>Type onduidelijk: FDC25 (8.4.2) vs FDC M24S (9.4) – aantal uittellen</t>
        </is>
      </c>
    </row>
    <row r="22">
      <c r="A22" s="23" t="n">
        <v>15</v>
      </c>
      <c r="B22" s="23" t="inlineStr">
        <is>
          <t>Luchtbehandelingskast / ventilatie-installatie, incl. kanaalwerk</t>
        </is>
      </c>
      <c r="C22" s="23" t="inlineStr">
        <is>
          <t>Roosters Solid Air (CTV/CRVM/RTB/RRB) incl. ≥1 m akoestische slang en instelklep</t>
        </is>
      </c>
      <c r="D22" s="23" t="inlineStr">
        <is>
          <t>E&amp;W 8.4.3</t>
        </is>
      </c>
      <c r="E22" s="23" t="inlineStr">
        <is>
          <t>st</t>
        </is>
      </c>
      <c r="F22" s="24" t="n">
        <v>140</v>
      </c>
      <c r="G22" s="25" t="n">
        <v>175</v>
      </c>
      <c r="H22" s="26">
        <f>F22*G22</f>
        <v/>
      </c>
      <c r="I22" s="23" t="inlineStr">
        <is>
          <t>OA W-installateur</t>
        </is>
      </c>
      <c r="J22" s="23" t="inlineStr">
        <is>
          <t>Richtprijs</t>
        </is>
      </c>
      <c r="K22" s="23" t="inlineStr">
        <is>
          <t>Aantal uittellen</t>
        </is>
      </c>
    </row>
    <row r="23">
      <c r="A23" s="23" t="n">
        <v>15</v>
      </c>
      <c r="B23" s="23" t="inlineStr">
        <is>
          <t>Luchtbehandelingskast / ventilatie-installatie, incl. kanaalwerk</t>
        </is>
      </c>
      <c r="C23" s="23" t="inlineStr">
        <is>
          <t>Plenumafzuiging gang + geluiddempende deurroosters (2 st)</t>
        </is>
      </c>
      <c r="D23" s="23" t="inlineStr">
        <is>
          <t>E&amp;W 8.4.1</t>
        </is>
      </c>
      <c r="E23" s="23" t="inlineStr">
        <is>
          <t>post</t>
        </is>
      </c>
      <c r="F23" s="24" t="n">
        <v>1</v>
      </c>
      <c r="G23" s="25" t="n">
        <v>4500</v>
      </c>
      <c r="H23" s="26">
        <f>F23*G23</f>
        <v/>
      </c>
      <c r="I23" s="23" t="inlineStr">
        <is>
          <t>OA W-installateur</t>
        </is>
      </c>
      <c r="J23" s="23" t="inlineStr">
        <is>
          <t>Richtprijs</t>
        </is>
      </c>
      <c r="K23" s="23" t="inlineStr"/>
    </row>
    <row r="24">
      <c r="A24" s="23" t="n">
        <v>15</v>
      </c>
      <c r="B24" s="23" t="inlineStr">
        <is>
          <t>Luchtbehandelingskast / ventilatie-installatie, incl. kanaalwerk</t>
        </is>
      </c>
      <c r="C24" s="23" t="inlineStr">
        <is>
          <t>Boxventilator wasruimte 0.57 met vochtregeling en tijdklok</t>
        </is>
      </c>
      <c r="D24" s="23" t="inlineStr">
        <is>
          <t>E&amp;W 8.5</t>
        </is>
      </c>
      <c r="E24" s="23" t="inlineStr">
        <is>
          <t>st</t>
        </is>
      </c>
      <c r="F24" s="24" t="n">
        <v>1</v>
      </c>
      <c r="G24" s="25" t="n">
        <v>2600</v>
      </c>
      <c r="H24" s="26">
        <f>F24*G24</f>
        <v/>
      </c>
      <c r="I24" s="23" t="inlineStr">
        <is>
          <t>OA W-installateur</t>
        </is>
      </c>
      <c r="J24" s="23" t="inlineStr">
        <is>
          <t>Richtprijs</t>
        </is>
      </c>
      <c r="K24" s="23" t="inlineStr"/>
    </row>
    <row r="25">
      <c r="A25" s="23" t="n">
        <v>15</v>
      </c>
      <c r="B25" s="23" t="inlineStr">
        <is>
          <t>Luchtbehandelingskast / ventilatie-installatie, incl. kanaalwerk</t>
        </is>
      </c>
      <c r="C25" s="23" t="inlineStr">
        <is>
          <t>Recirculatie-afzuigkap Quattro Correto CW4090 + plasmafilter (4 st keuken 0.24, 4 st keuken 0.64)</t>
        </is>
      </c>
      <c r="D25" s="23" t="inlineStr">
        <is>
          <t>E&amp;W 8.4.6/8.4.7</t>
        </is>
      </c>
      <c r="E25" s="23" t="inlineStr">
        <is>
          <t>st</t>
        </is>
      </c>
      <c r="F25" s="24" t="n">
        <v>8</v>
      </c>
      <c r="G25" s="25" t="n">
        <v>4600</v>
      </c>
      <c r="H25" s="26">
        <f>F25*G25</f>
        <v/>
      </c>
      <c r="I25" s="23" t="inlineStr">
        <is>
          <t>Techno Horeca / OA</t>
        </is>
      </c>
      <c r="J25" s="23" t="inlineStr">
        <is>
          <t>Offerte aanvragen</t>
        </is>
      </c>
      <c r="K25" s="23" t="inlineStr">
        <is>
          <t>Offerte Techno Horeca is bijgevoegd – bedrag overnemen. Let op: BBN 3.7.2 noemt wasemschouw + wandkappen</t>
        </is>
      </c>
    </row>
    <row r="26">
      <c r="A26" s="23" t="n">
        <v>15</v>
      </c>
      <c r="B26" s="23" t="inlineStr">
        <is>
          <t>Luchtbehandelingskast / ventilatie-installatie, incl. kanaalwerk</t>
        </is>
      </c>
      <c r="C26" s="23" t="inlineStr">
        <is>
          <t>Luchtzijdig inregelen gehele BG + één gecombineerd meetrapport (Delta-P)</t>
        </is>
      </c>
      <c r="D26" s="23" t="inlineStr">
        <is>
          <t>E&amp;W 8.6</t>
        </is>
      </c>
      <c r="E26" s="23" t="inlineStr">
        <is>
          <t>post</t>
        </is>
      </c>
      <c r="F26" s="24" t="n">
        <v>1</v>
      </c>
      <c r="G26" s="25" t="n">
        <v>5000</v>
      </c>
      <c r="H26" s="26">
        <f>F26*G26</f>
        <v/>
      </c>
      <c r="I26" s="23" t="inlineStr">
        <is>
          <t>Delta-P (voorgeschreven)</t>
        </is>
      </c>
      <c r="J26" s="23" t="inlineStr">
        <is>
          <t>Offerte aanvragen</t>
        </is>
      </c>
      <c r="K26" s="23" t="inlineStr"/>
    </row>
    <row r="27">
      <c r="A27" s="23" t="n">
        <v>16</v>
      </c>
      <c r="B27" s="23" t="inlineStr">
        <is>
          <t>Verlichtingsinstallatie</t>
        </is>
      </c>
      <c r="C27" s="23" t="inlineStr">
        <is>
          <t>Verlichtingsarmaturen LED (downlights, inleg 600x600, plafonnière + hanglamp kamers) incl. aansluiting</t>
        </is>
      </c>
      <c r="D27" s="23" t="inlineStr">
        <is>
          <t>E&amp;W 10.9</t>
        </is>
      </c>
      <c r="E27" s="23" t="inlineStr">
        <is>
          <t>st</t>
        </is>
      </c>
      <c r="F27" s="24" t="n">
        <v>130</v>
      </c>
      <c r="G27" s="25" t="n">
        <v>210</v>
      </c>
      <c r="H27" s="26">
        <f>F27*G27</f>
        <v/>
      </c>
      <c r="I27" s="23" t="inlineStr">
        <is>
          <t>OA E-installateur</t>
        </is>
      </c>
      <c r="J27" s="23" t="inlineStr">
        <is>
          <t>Richtprijs</t>
        </is>
      </c>
      <c r="K27" s="23" t="inlineStr">
        <is>
          <t>Aantal volgt uit lichtplan</t>
        </is>
      </c>
    </row>
    <row r="28">
      <c r="A28" s="23" t="n">
        <v>16</v>
      </c>
      <c r="B28" s="23" t="inlineStr">
        <is>
          <t>Verlichtingsinstallatie</t>
        </is>
      </c>
      <c r="C28" s="23" t="inlineStr">
        <is>
          <t>Noodverlichting en vluchtwegsignalering decentraal (autonoom)</t>
        </is>
      </c>
      <c r="D28" s="23" t="inlineStr">
        <is>
          <t>E&amp;W 10.10</t>
        </is>
      </c>
      <c r="E28" s="23" t="inlineStr">
        <is>
          <t>st</t>
        </is>
      </c>
      <c r="F28" s="24" t="n">
        <v>40</v>
      </c>
      <c r="G28" s="25" t="n">
        <v>265</v>
      </c>
      <c r="H28" s="26">
        <f>F28*G28</f>
        <v/>
      </c>
      <c r="I28" s="23" t="inlineStr">
        <is>
          <t>OA E-installateur</t>
        </is>
      </c>
      <c r="J28" s="23" t="inlineStr">
        <is>
          <t>Richtprijs</t>
        </is>
      </c>
      <c r="K28" s="23" t="inlineStr"/>
    </row>
    <row r="29">
      <c r="A29" s="23" t="n">
        <v>16</v>
      </c>
      <c r="B29" s="23" t="inlineStr">
        <is>
          <t>Verlichtingsinstallatie</t>
        </is>
      </c>
      <c r="C29" s="23" t="inlineStr">
        <is>
          <t>Aanwezigheidsdetectie / DALI-dimmers / nachtbedrijf gangen en sanitair</t>
        </is>
      </c>
      <c r="D29" s="23" t="inlineStr">
        <is>
          <t>E&amp;W 10.11</t>
        </is>
      </c>
      <c r="E29" s="23" t="inlineStr">
        <is>
          <t>st</t>
        </is>
      </c>
      <c r="F29" s="24" t="n">
        <v>25</v>
      </c>
      <c r="G29" s="25" t="n">
        <v>160</v>
      </c>
      <c r="H29" s="26">
        <f>F29*G29</f>
        <v/>
      </c>
      <c r="I29" s="23" t="inlineStr">
        <is>
          <t>OA E-installateur</t>
        </is>
      </c>
      <c r="J29" s="23" t="inlineStr">
        <is>
          <t>Richtprijs</t>
        </is>
      </c>
      <c r="K29" s="23" t="inlineStr"/>
    </row>
    <row r="30">
      <c r="A30" s="23" t="n">
        <v>17</v>
      </c>
      <c r="B30" s="23" t="inlineStr">
        <is>
          <t>Centrale elektrotechnische voorzieningen</t>
        </is>
      </c>
      <c r="C30" s="23" t="inlineStr">
        <is>
          <t>Nieuwe verdeelinrichting keuken (LKK) incl. voedingskabel vanuit HSVI parkeergarage</t>
        </is>
      </c>
      <c r="D30" s="23" t="inlineStr">
        <is>
          <t>E&amp;W 10.6</t>
        </is>
      </c>
      <c r="E30" s="23" t="inlineStr">
        <is>
          <t>st</t>
        </is>
      </c>
      <c r="F30" s="24" t="n">
        <v>1</v>
      </c>
      <c r="G30" s="25" t="n">
        <v>9500</v>
      </c>
      <c r="H30" s="26">
        <f>F30*G30</f>
        <v/>
      </c>
      <c r="I30" s="23" t="inlineStr">
        <is>
          <t>OA E-installateur</t>
        </is>
      </c>
      <c r="J30" s="23" t="inlineStr">
        <is>
          <t>Richtprijs</t>
        </is>
      </c>
      <c r="K30" s="23" t="inlineStr">
        <is>
          <t>Kabellengte parkeergarage → keuken bepalen</t>
        </is>
      </c>
    </row>
    <row r="31">
      <c r="A31" s="23" t="n">
        <v>17</v>
      </c>
      <c r="B31" s="23" t="inlineStr">
        <is>
          <t>Centrale elektrotechnische voorzieningen</t>
        </is>
      </c>
      <c r="C31" s="23" t="inlineStr">
        <is>
          <t>Aanpassen LK0-1 en LK0-2 (groepen, 20% reserve) incl. overspanningsbeveiliging + signaleringslamp</t>
        </is>
      </c>
      <c r="D31" s="23" t="inlineStr">
        <is>
          <t>E&amp;W 10.6.1/10.8</t>
        </is>
      </c>
      <c r="E31" s="23" t="inlineStr">
        <is>
          <t>st</t>
        </is>
      </c>
      <c r="F31" s="24" t="n">
        <v>2</v>
      </c>
      <c r="G31" s="25" t="n">
        <v>3800</v>
      </c>
      <c r="H31" s="26">
        <f>F31*G31</f>
        <v/>
      </c>
      <c r="I31" s="23" t="inlineStr">
        <is>
          <t>OA E-installateur</t>
        </is>
      </c>
      <c r="J31" s="23" t="inlineStr">
        <is>
          <t>Richtprijs</t>
        </is>
      </c>
      <c r="K31" s="23" t="inlineStr"/>
    </row>
    <row r="32">
      <c r="A32" s="23" t="n">
        <v>17</v>
      </c>
      <c r="B32" s="23" t="inlineStr">
        <is>
          <t>Centrale elektrotechnische voorzieningen</t>
        </is>
      </c>
      <c r="C32" s="23" t="inlineStr">
        <is>
          <t>Wandcontactdozen / aansluitpunten incl. leidingwerk in buis</t>
        </is>
      </c>
      <c r="D32" s="23" t="inlineStr">
        <is>
          <t>E&amp;W 10.7</t>
        </is>
      </c>
      <c r="E32" s="23" t="inlineStr">
        <is>
          <t>st</t>
        </is>
      </c>
      <c r="F32" s="24" t="n">
        <v>160</v>
      </c>
      <c r="G32" s="25" t="n">
        <v>135</v>
      </c>
      <c r="H32" s="26">
        <f>F32*G32</f>
        <v/>
      </c>
      <c r="I32" s="23" t="inlineStr">
        <is>
          <t>OA E-installateur</t>
        </is>
      </c>
      <c r="J32" s="23" t="inlineStr">
        <is>
          <t>Richtprijs</t>
        </is>
      </c>
      <c r="K32" s="23" t="inlineStr">
        <is>
          <t>Incl. punten die niet op tekening staan (10.7)</t>
        </is>
      </c>
    </row>
    <row r="33">
      <c r="A33" s="23" t="n">
        <v>17</v>
      </c>
      <c r="B33" s="23" t="inlineStr">
        <is>
          <t>Centrale elektrotechnische voorzieningen</t>
        </is>
      </c>
      <c r="C33" s="23" t="inlineStr">
        <is>
          <t>Krachtaansluitingen inductiekookplaten (6 st) en afzuigkappen</t>
        </is>
      </c>
      <c r="D33" s="23" t="inlineStr">
        <is>
          <t>E&amp;W 10.7.6</t>
        </is>
      </c>
      <c r="E33" s="23" t="inlineStr">
        <is>
          <t>st</t>
        </is>
      </c>
      <c r="F33" s="24" t="n">
        <v>14</v>
      </c>
      <c r="G33" s="25" t="n">
        <v>420</v>
      </c>
      <c r="H33" s="26">
        <f>F33*G33</f>
        <v/>
      </c>
      <c r="I33" s="23" t="inlineStr">
        <is>
          <t>OA E-installateur</t>
        </is>
      </c>
      <c r="J33" s="23" t="inlineStr">
        <is>
          <t>Richtprijs</t>
        </is>
      </c>
      <c r="K33" s="23" t="inlineStr"/>
    </row>
    <row r="34">
      <c r="A34" s="23" t="n">
        <v>17</v>
      </c>
      <c r="B34" s="23" t="inlineStr">
        <is>
          <t>Centrale elektrotechnische voorzieningen</t>
        </is>
      </c>
      <c r="C34" s="23" t="inlineStr">
        <is>
          <t>Voedingen ventilatorconvectoren, brandkleppen, M-Check, boxventilator</t>
        </is>
      </c>
      <c r="D34" s="23" t="inlineStr">
        <is>
          <t>E&amp;W 9.2.1/9.4.1</t>
        </is>
      </c>
      <c r="E34" s="23" t="inlineStr">
        <is>
          <t>st</t>
        </is>
      </c>
      <c r="F34" s="24" t="n">
        <v>45</v>
      </c>
      <c r="G34" s="25" t="n">
        <v>175</v>
      </c>
      <c r="H34" s="26">
        <f>F34*G34</f>
        <v/>
      </c>
      <c r="I34" s="23" t="inlineStr">
        <is>
          <t>OA E-installateur</t>
        </is>
      </c>
      <c r="J34" s="23" t="inlineStr">
        <is>
          <t>Richtprijs</t>
        </is>
      </c>
      <c r="K34" s="23" t="inlineStr"/>
    </row>
    <row r="35">
      <c r="A35" s="23" t="n">
        <v>17</v>
      </c>
      <c r="B35" s="23" t="inlineStr">
        <is>
          <t>Centrale elektrotechnische voorzieningen</t>
        </is>
      </c>
      <c r="C35" s="23" t="inlineStr">
        <is>
          <t>Aarding en potentiaalvereffening (incl. natte ruimten)</t>
        </is>
      </c>
      <c r="D35" s="23" t="inlineStr">
        <is>
          <t>E&amp;W 10.4</t>
        </is>
      </c>
      <c r="E35" s="23" t="inlineStr">
        <is>
          <t>post</t>
        </is>
      </c>
      <c r="F35" s="24" t="n">
        <v>1</v>
      </c>
      <c r="G35" s="25" t="n">
        <v>3200</v>
      </c>
      <c r="H35" s="26">
        <f>F35*G35</f>
        <v/>
      </c>
      <c r="I35" s="23" t="inlineStr">
        <is>
          <t>OA E-installateur</t>
        </is>
      </c>
      <c r="J35" s="23" t="inlineStr">
        <is>
          <t>Richtprijs</t>
        </is>
      </c>
      <c r="K35" s="23" t="inlineStr"/>
    </row>
    <row r="36">
      <c r="A36" s="23" t="n">
        <v>17</v>
      </c>
      <c r="B36" s="23" t="inlineStr">
        <is>
          <t>Centrale elektrotechnische voorzieningen</t>
        </is>
      </c>
      <c r="C36" s="23" t="inlineStr">
        <is>
          <t>Kabelgoten / kanalisatie + 35 m nieuw wandgootdeksel</t>
        </is>
      </c>
      <c r="D36" s="23" t="inlineStr">
        <is>
          <t>E&amp;W 10.5</t>
        </is>
      </c>
      <c r="E36" s="23" t="inlineStr">
        <is>
          <t>post</t>
        </is>
      </c>
      <c r="F36" s="24" t="n">
        <v>1</v>
      </c>
      <c r="G36" s="25" t="n">
        <v>6200</v>
      </c>
      <c r="H36" s="26">
        <f>F36*G36</f>
        <v/>
      </c>
      <c r="I36" s="23" t="inlineStr">
        <is>
          <t>OA E-installateur</t>
        </is>
      </c>
      <c r="J36" s="23" t="inlineStr">
        <is>
          <t>Richtprijs</t>
        </is>
      </c>
      <c r="K36" s="23" t="inlineStr"/>
    </row>
    <row r="37">
      <c r="A37" s="23" t="n">
        <v>17</v>
      </c>
      <c r="B37" s="23" t="inlineStr">
        <is>
          <t>Centrale elektrotechnische voorzieningen</t>
        </is>
      </c>
      <c r="C37" s="23" t="inlineStr">
        <is>
          <t>NEN 3140 / NEN 1010 metingen en rapportage</t>
        </is>
      </c>
      <c r="D37" s="23" t="inlineStr">
        <is>
          <t>E&amp;W 3.9.3</t>
        </is>
      </c>
      <c r="E37" s="23" t="inlineStr">
        <is>
          <t>post</t>
        </is>
      </c>
      <c r="F37" s="24" t="n">
        <v>1</v>
      </c>
      <c r="G37" s="25" t="n">
        <v>1600</v>
      </c>
      <c r="H37" s="26">
        <f>F37*G37</f>
        <v/>
      </c>
      <c r="I37" s="23" t="inlineStr">
        <is>
          <t>OA E-installateur</t>
        </is>
      </c>
      <c r="J37" s="23" t="inlineStr">
        <is>
          <t>Richtprijs</t>
        </is>
      </c>
      <c r="K37" s="23" t="inlineStr"/>
    </row>
    <row r="38">
      <c r="A38" s="23" t="n">
        <v>18</v>
      </c>
      <c r="B38" s="23" t="inlineStr">
        <is>
          <t>Aanpassen regeltechniek</t>
        </is>
      </c>
      <c r="C38" s="23" t="inlineStr">
        <is>
          <t>Demonteren vervallen I/O-punten, GBS-datapunten en bekabeling, opschonen regelkasten (Priva ongewijzigd)</t>
        </is>
      </c>
      <c r="D38" s="23" t="inlineStr">
        <is>
          <t>E&amp;W 5.9</t>
        </is>
      </c>
      <c r="E38" s="23" t="inlineStr">
        <is>
          <t>post</t>
        </is>
      </c>
      <c r="F38" s="24" t="n">
        <v>1</v>
      </c>
      <c r="G38" s="25" t="n">
        <v>3500</v>
      </c>
      <c r="H38" s="26">
        <f>F38*G38</f>
        <v/>
      </c>
      <c r="I38" s="23" t="inlineStr">
        <is>
          <t>OA W/regeltechniek</t>
        </is>
      </c>
      <c r="J38" s="23" t="inlineStr">
        <is>
          <t>Richtprijs</t>
        </is>
      </c>
      <c r="K38" s="23" t="inlineStr">
        <is>
          <t>Geen nul-prijs: deze post heeft wel inhoud</t>
        </is>
      </c>
    </row>
    <row r="39">
      <c r="A39" s="23" t="n">
        <v>18</v>
      </c>
      <c r="B39" s="23" t="inlineStr">
        <is>
          <t>Aanpassen regeltechniek</t>
        </is>
      </c>
      <c r="C39" s="23" t="inlineStr">
        <is>
          <t>Regeltechnische documentatie (processchema's, I/O-lijsten) + instructie ≥2 uur</t>
        </is>
      </c>
      <c r="D39" s="23" t="inlineStr">
        <is>
          <t>E&amp;W 9.5</t>
        </is>
      </c>
      <c r="E39" s="23" t="inlineStr">
        <is>
          <t>post</t>
        </is>
      </c>
      <c r="F39" s="24" t="n">
        <v>1</v>
      </c>
      <c r="G39" s="25" t="n">
        <v>1800</v>
      </c>
      <c r="H39" s="26">
        <f>F39*G39</f>
        <v/>
      </c>
      <c r="I39" s="23" t="inlineStr">
        <is>
          <t>OA W/regeltechniek</t>
        </is>
      </c>
      <c r="J39" s="23" t="inlineStr">
        <is>
          <t>Richtprijs</t>
        </is>
      </c>
      <c r="K39" s="23" t="inlineStr"/>
    </row>
    <row r="40">
      <c r="A40" s="23" t="n">
        <v>19</v>
      </c>
      <c r="B40" s="23" t="inlineStr">
        <is>
          <t>Communicatievoorzieningen</t>
        </is>
      </c>
      <c r="C40" s="23" t="inlineStr">
        <is>
          <t>Data-aansluiting CAT6a LSZH incl. outlet en bekabeling</t>
        </is>
      </c>
      <c r="D40" s="23" t="inlineStr">
        <is>
          <t>E&amp;W 11.2</t>
        </is>
      </c>
      <c r="E40" s="23" t="inlineStr">
        <is>
          <t>st</t>
        </is>
      </c>
      <c r="F40" s="24" t="n">
        <v>80</v>
      </c>
      <c r="G40" s="25" t="n">
        <v>195</v>
      </c>
      <c r="H40" s="26">
        <f>F40*G40</f>
        <v/>
      </c>
      <c r="I40" s="23" t="inlineStr">
        <is>
          <t>OA E-installateur</t>
        </is>
      </c>
      <c r="J40" s="23" t="inlineStr">
        <is>
          <t>Richtprijs</t>
        </is>
      </c>
      <c r="K40" s="23" t="inlineStr">
        <is>
          <t>Aantal volgt uit tekening</t>
        </is>
      </c>
    </row>
    <row r="41">
      <c r="A41" s="23" t="n">
        <v>19</v>
      </c>
      <c r="B41" s="23" t="inlineStr">
        <is>
          <t>Communicatievoorzieningen</t>
        </is>
      </c>
      <c r="C41" s="23" t="inlineStr">
        <is>
          <t>WLAN access point-aansluiting 2-voudig met PoE</t>
        </is>
      </c>
      <c r="D41" s="23" t="inlineStr">
        <is>
          <t>E&amp;W 11.2</t>
        </is>
      </c>
      <c r="E41" s="23" t="inlineStr">
        <is>
          <t>st</t>
        </is>
      </c>
      <c r="F41" s="24" t="n">
        <v>8</v>
      </c>
      <c r="G41" s="25" t="n">
        <v>320</v>
      </c>
      <c r="H41" s="26">
        <f>F41*G41</f>
        <v/>
      </c>
      <c r="I41" s="23" t="inlineStr">
        <is>
          <t>OA E-installateur</t>
        </is>
      </c>
      <c r="J41" s="23" t="inlineStr">
        <is>
          <t>Richtprijs</t>
        </is>
      </c>
      <c r="K41" s="23" t="inlineStr"/>
    </row>
    <row r="42">
      <c r="A42" s="23" t="n">
        <v>19</v>
      </c>
      <c r="B42" s="23" t="inlineStr">
        <is>
          <t>Communicatievoorzieningen</t>
        </is>
      </c>
      <c r="C42" s="23" t="inlineStr">
        <is>
          <t>Patchpanelen/rangeerpanelen in bestaand 19"-rack + aansluit- en patchsnoeren (75%)</t>
        </is>
      </c>
      <c r="D42" s="23" t="inlineStr">
        <is>
          <t>E&amp;W 11.2.1</t>
        </is>
      </c>
      <c r="E42" s="23" t="inlineStr">
        <is>
          <t>post</t>
        </is>
      </c>
      <c r="F42" s="24" t="n">
        <v>1</v>
      </c>
      <c r="G42" s="25" t="n">
        <v>2800</v>
      </c>
      <c r="H42" s="26">
        <f>F42*G42</f>
        <v/>
      </c>
      <c r="I42" s="23" t="inlineStr">
        <is>
          <t>OA E-installateur</t>
        </is>
      </c>
      <c r="J42" s="23" t="inlineStr">
        <is>
          <t>Richtprijs</t>
        </is>
      </c>
      <c r="K42" s="23" t="inlineStr"/>
    </row>
    <row r="43">
      <c r="A43" s="23" t="n">
        <v>19</v>
      </c>
      <c r="B43" s="23" t="inlineStr">
        <is>
          <t>Communicatievoorzieningen</t>
        </is>
      </c>
      <c r="C43" s="23" t="inlineStr">
        <is>
          <t>Bekabeling camera's en toegangscontrole volgens opgave Trigion</t>
        </is>
      </c>
      <c r="D43" s="23" t="inlineStr">
        <is>
          <t>E&amp;W 11.2 / bijlage 13</t>
        </is>
      </c>
      <c r="E43" s="23" t="inlineStr">
        <is>
          <t>post</t>
        </is>
      </c>
      <c r="F43" s="24" t="n">
        <v>1</v>
      </c>
      <c r="G43" s="25" t="n">
        <v>4500</v>
      </c>
      <c r="H43" s="26">
        <f>F43*G43</f>
        <v/>
      </c>
      <c r="I43" s="23" t="inlineStr">
        <is>
          <t>OA E-installateur</t>
        </is>
      </c>
      <c r="J43" s="23" t="inlineStr">
        <is>
          <t>Offerte aanvragen</t>
        </is>
      </c>
      <c r="K43" s="23" t="inlineStr">
        <is>
          <t>Opgave Trigion (bijlage) uitrekenen</t>
        </is>
      </c>
    </row>
    <row r="44">
      <c r="A44" s="23" t="n">
        <v>20</v>
      </c>
      <c r="B44" s="23" t="inlineStr">
        <is>
          <t>Toegangscontrole en beveiliging</t>
        </is>
      </c>
      <c r="C44" s="23" t="inlineStr">
        <is>
          <t>Rookmelders met NEN 2555-functionaliteit in bewonerskamers incl. sturingen</t>
        </is>
      </c>
      <c r="D44" s="23" t="inlineStr">
        <is>
          <t>E&amp;W 12.2.3</t>
        </is>
      </c>
      <c r="E44" s="23" t="inlineStr">
        <is>
          <t>st</t>
        </is>
      </c>
      <c r="F44" s="24" t="n">
        <v>29</v>
      </c>
      <c r="G44" s="25" t="n">
        <v>290</v>
      </c>
      <c r="H44" s="26">
        <f>F44*G44</f>
        <v/>
      </c>
      <c r="I44" s="23" t="inlineStr">
        <is>
          <t>Erkend branddetectiebedrijf</t>
        </is>
      </c>
      <c r="J44" s="23" t="inlineStr">
        <is>
          <t>Offerte aanvragen</t>
        </is>
      </c>
      <c r="K44" s="23" t="inlineStr"/>
    </row>
    <row r="45">
      <c r="A45" s="23" t="n">
        <v>20</v>
      </c>
      <c r="B45" s="23" t="inlineStr">
        <is>
          <t>Toegangscontrole en beveiliging</t>
        </is>
      </c>
      <c r="C45" s="23" t="inlineStr">
        <is>
          <t>Automatische melders verkeers-, gezamenlijke en risicoruimten</t>
        </is>
      </c>
      <c r="D45" s="23" t="inlineStr">
        <is>
          <t>E&amp;W 12.2.3</t>
        </is>
      </c>
      <c r="E45" s="23" t="inlineStr">
        <is>
          <t>st</t>
        </is>
      </c>
      <c r="F45" s="24" t="n">
        <v>25</v>
      </c>
      <c r="G45" s="25" t="n">
        <v>230</v>
      </c>
      <c r="H45" s="26">
        <f>F45*G45</f>
        <v/>
      </c>
      <c r="I45" s="23" t="inlineStr">
        <is>
          <t>Erkend branddetectiebedrijf</t>
        </is>
      </c>
      <c r="J45" s="23" t="inlineStr">
        <is>
          <t>Offerte aanvragen</t>
        </is>
      </c>
      <c r="K45" s="23" t="inlineStr"/>
    </row>
    <row r="46">
      <c r="A46" s="23" t="n">
        <v>20</v>
      </c>
      <c r="B46" s="23" t="inlineStr">
        <is>
          <t>Toegangscontrole en beveiliging</t>
        </is>
      </c>
      <c r="C46" s="23" t="inlineStr">
        <is>
          <t>Handbrandmelders (in deur brandslanghaspelkast) + slow-whoops klasse B</t>
        </is>
      </c>
      <c r="D46" s="23" t="inlineStr">
        <is>
          <t>E&amp;W 12.2.6/12.3</t>
        </is>
      </c>
      <c r="E46" s="23" t="inlineStr">
        <is>
          <t>st</t>
        </is>
      </c>
      <c r="F46" s="24" t="n">
        <v>20</v>
      </c>
      <c r="G46" s="25" t="n">
        <v>260</v>
      </c>
      <c r="H46" s="26">
        <f>F46*G46</f>
        <v/>
      </c>
      <c r="I46" s="23" t="inlineStr">
        <is>
          <t>Erkend branddetectiebedrijf</t>
        </is>
      </c>
      <c r="J46" s="23" t="inlineStr">
        <is>
          <t>Offerte aanvragen</t>
        </is>
      </c>
      <c r="K46" s="23" t="inlineStr">
        <is>
          <t>Extra signaalgevers zijn niet verrekenbaar</t>
        </is>
      </c>
    </row>
    <row r="47">
      <c r="A47" s="23" t="n">
        <v>20</v>
      </c>
      <c r="B47" s="23" t="inlineStr">
        <is>
          <t>Toegangscontrole en beveiliging</t>
        </is>
      </c>
      <c r="C47" s="23" t="inlineStr">
        <is>
          <t>Uitbreiding BMC/lus-capaciteit + aanpassen OAI-zonering</t>
        </is>
      </c>
      <c r="D47" s="23" t="inlineStr">
        <is>
          <t>E&amp;W 12.2.3</t>
        </is>
      </c>
      <c r="E47" s="23" t="inlineStr">
        <is>
          <t>post</t>
        </is>
      </c>
      <c r="F47" s="24" t="n">
        <v>1</v>
      </c>
      <c r="G47" s="25" t="n">
        <v>4500</v>
      </c>
      <c r="H47" s="26">
        <f>F47*G47</f>
        <v/>
      </c>
      <c r="I47" s="23" t="inlineStr">
        <is>
          <t>Erkend branddetectiebedrijf</t>
        </is>
      </c>
      <c r="J47" s="23" t="inlineStr">
        <is>
          <t>Offerte aanvragen</t>
        </is>
      </c>
      <c r="K47" s="23" t="inlineStr">
        <is>
          <t>Capaciteit bestaande BMC onbekend – zie risico's</t>
        </is>
      </c>
    </row>
    <row r="48">
      <c r="A48" s="23" t="n">
        <v>20</v>
      </c>
      <c r="B48" s="23" t="inlineStr">
        <is>
          <t>Toegangscontrole en beveiliging</t>
        </is>
      </c>
      <c r="C48" s="23" t="inlineStr">
        <is>
          <t>PvE/Nota van Aanvulling BMI/OAI + goedkeuring brandweer, projectering</t>
        </is>
      </c>
      <c r="D48" s="23" t="inlineStr">
        <is>
          <t>E&amp;W 12.2.1</t>
        </is>
      </c>
      <c r="E48" s="23" t="inlineStr">
        <is>
          <t>post</t>
        </is>
      </c>
      <c r="F48" s="24" t="n">
        <v>1</v>
      </c>
      <c r="G48" s="25" t="n">
        <v>3500</v>
      </c>
      <c r="H48" s="26">
        <f>F48*G48</f>
        <v/>
      </c>
      <c r="I48" s="23" t="inlineStr">
        <is>
          <t>Erkend branddetectiebedrijf</t>
        </is>
      </c>
      <c r="J48" s="23" t="inlineStr">
        <is>
          <t>Offerte aanvragen</t>
        </is>
      </c>
      <c r="K48" s="23" t="inlineStr"/>
    </row>
    <row r="49">
      <c r="A49" s="23" t="n">
        <v>20</v>
      </c>
      <c r="B49" s="23" t="inlineStr">
        <is>
          <t>Toegangscontrole en beveiliging</t>
        </is>
      </c>
      <c r="C49" s="23" t="inlineStr">
        <is>
          <t>Inbedrijfstelling, rapport van oplevering, inspectie erkende instelling, eerste certificaat</t>
        </is>
      </c>
      <c r="D49" s="23" t="inlineStr">
        <is>
          <t>E&amp;W 12.2.1/12.2.2</t>
        </is>
      </c>
      <c r="E49" s="23" t="inlineStr">
        <is>
          <t>post</t>
        </is>
      </c>
      <c r="F49" s="24" t="n">
        <v>1</v>
      </c>
      <c r="G49" s="25" t="n">
        <v>4800</v>
      </c>
      <c r="H49" s="26">
        <f>F49*G49</f>
        <v/>
      </c>
      <c r="I49" s="23" t="inlineStr">
        <is>
          <t>Erkend branddetectiebedrijf</t>
        </is>
      </c>
      <c r="J49" s="23" t="inlineStr">
        <is>
          <t>Offerte aanvragen</t>
        </is>
      </c>
      <c r="K49" s="23" t="inlineStr"/>
    </row>
    <row r="50">
      <c r="A50" s="23" t="n">
        <v>20</v>
      </c>
      <c r="B50" s="23" t="inlineStr">
        <is>
          <t>Toegangscontrole en beveiliging</t>
        </is>
      </c>
      <c r="C50" s="23" t="inlineStr">
        <is>
          <t>GTV-voedingen en aansturing brandkleppen + deurvastzetters/vrijloopdrangers</t>
        </is>
      </c>
      <c r="D50" s="23" t="inlineStr">
        <is>
          <t>E&amp;W 12.2.4</t>
        </is>
      </c>
      <c r="E50" s="23" t="inlineStr">
        <is>
          <t>post</t>
        </is>
      </c>
      <c r="F50" s="24" t="n">
        <v>1</v>
      </c>
      <c r="G50" s="25" t="n">
        <v>4500</v>
      </c>
      <c r="H50" s="26">
        <f>F50*G50</f>
        <v/>
      </c>
      <c r="I50" s="23" t="inlineStr">
        <is>
          <t>Erkend branddetectiebedrijf</t>
        </is>
      </c>
      <c r="J50" s="23" t="inlineStr">
        <is>
          <t>Richtprijs</t>
        </is>
      </c>
      <c r="K50" s="23" t="inlineStr">
        <is>
          <t>Demarcatie onduidelijk (8.4.2 'door derden' vs 12.2.4 'aannemer') – hier meegeprijsd</t>
        </is>
      </c>
    </row>
    <row r="51">
      <c r="A51" s="23" t="n">
        <v>20</v>
      </c>
      <c r="B51" s="23" t="inlineStr">
        <is>
          <t>Toegangscontrole en beveiliging</t>
        </is>
      </c>
      <c r="C51" s="23" t="inlineStr">
        <is>
          <t>Alarmsignalering mindervalidentoilet</t>
        </is>
      </c>
      <c r="D51" s="23" t="inlineStr">
        <is>
          <t>E&amp;W 12.5</t>
        </is>
      </c>
      <c r="E51" s="23" t="inlineStr">
        <is>
          <t>st</t>
        </is>
      </c>
      <c r="F51" s="24" t="n">
        <v>1</v>
      </c>
      <c r="G51" s="25" t="n">
        <v>850</v>
      </c>
      <c r="H51" s="26">
        <f>F51*G51</f>
        <v/>
      </c>
      <c r="I51" s="23" t="inlineStr">
        <is>
          <t>OA E-installateur</t>
        </is>
      </c>
      <c r="J51" s="23" t="inlineStr">
        <is>
          <t>Richtprijs</t>
        </is>
      </c>
      <c r="K51" s="23" t="inlineStr"/>
    </row>
    <row r="52">
      <c r="A52" s="23" t="n">
        <v>20</v>
      </c>
      <c r="B52" s="23" t="inlineStr">
        <is>
          <t>Toegangscontrole en beveiliging</t>
        </is>
      </c>
      <c r="C52" s="23" t="inlineStr">
        <is>
          <t>Stelpost toegangscontrole tussendeur 'time-out' (Salto-tag)</t>
        </is>
      </c>
      <c r="D52" s="23" t="inlineStr">
        <is>
          <t>E&amp;W 12.4</t>
        </is>
      </c>
      <c r="E52" s="23" t="inlineStr">
        <is>
          <t>post</t>
        </is>
      </c>
      <c r="F52" s="24" t="n">
        <v>1</v>
      </c>
      <c r="G52" s="27" t="n">
        <v>2000</v>
      </c>
      <c r="H52" s="26">
        <f>F52*G52</f>
        <v/>
      </c>
      <c r="I52" s="23" t="inlineStr">
        <is>
          <t>Stelpost</t>
        </is>
      </c>
      <c r="J52" s="23" t="inlineStr">
        <is>
          <t>Stelpost (voorgeschreven)</t>
        </is>
      </c>
      <c r="K52" s="23" t="inlineStr">
        <is>
          <t>Voorgeschreven verrekenbare stelpost</t>
        </is>
      </c>
    </row>
    <row r="53">
      <c r="A53" s="23" t="n">
        <v>21</v>
      </c>
      <c r="B53" s="23" t="inlineStr">
        <is>
          <t>Evt. andere bijkomende kosten (installaties)</t>
        </is>
      </c>
      <c r="C53" s="23" t="inlineStr">
        <is>
          <t>Stelpost tijdelijke voorzieningen t.b.v. bedrijfsvoering tijdens werkzaamheden</t>
        </is>
      </c>
      <c r="D53" s="23" t="inlineStr">
        <is>
          <t>E&amp;W 5.1</t>
        </is>
      </c>
      <c r="E53" s="23" t="inlineStr">
        <is>
          <t>post</t>
        </is>
      </c>
      <c r="F53" s="24" t="n">
        <v>1</v>
      </c>
      <c r="G53" s="27" t="n">
        <v>10000</v>
      </c>
      <c r="H53" s="26">
        <f>F53*G53</f>
        <v/>
      </c>
      <c r="I53" s="23" t="inlineStr">
        <is>
          <t>Stelpost</t>
        </is>
      </c>
      <c r="J53" s="23" t="inlineStr">
        <is>
          <t>Stelpost (voorgeschreven)</t>
        </is>
      </c>
      <c r="K53" s="23" t="inlineStr">
        <is>
          <t>Voorgeschreven verrekenbare stelpost</t>
        </is>
      </c>
    </row>
    <row r="54">
      <c r="A54" s="23" t="n">
        <v>21</v>
      </c>
      <c r="B54" s="23" t="inlineStr">
        <is>
          <t>Evt. andere bijkomende kosten (installaties)</t>
        </is>
      </c>
      <c r="C54" s="23" t="inlineStr">
        <is>
          <t>Horizontaal/verticaal transport installatiedelen + hulpmiddelen</t>
        </is>
      </c>
      <c r="D54" s="23" t="inlineStr">
        <is>
          <t>E&amp;W 3.10</t>
        </is>
      </c>
      <c r="E54" s="23" t="inlineStr">
        <is>
          <t>post</t>
        </is>
      </c>
      <c r="F54" s="24" t="n">
        <v>1</v>
      </c>
      <c r="G54" s="25" t="n">
        <v>2000</v>
      </c>
      <c r="H54" s="26">
        <f>F54*G54</f>
        <v/>
      </c>
      <c r="I54" s="23" t="inlineStr">
        <is>
          <t>OA installateurs</t>
        </is>
      </c>
      <c r="J54" s="23" t="inlineStr">
        <is>
          <t>Richtprijs</t>
        </is>
      </c>
      <c r="K54" s="23" t="inlineStr"/>
    </row>
    <row r="55">
      <c r="A55" s="23" t="n">
        <v>23</v>
      </c>
      <c r="B55" s="23" t="inlineStr">
        <is>
          <t>Vervangen kozijnen, ramen en gevelpanelen/-onderdelen</t>
        </is>
      </c>
      <c r="C55" s="23" t="inlineStr">
        <is>
          <t>Opname kozijnen en ruiten, vaststellen scope</t>
        </is>
      </c>
      <c r="D55" s="23" t="inlineStr">
        <is>
          <t>BBN 3.1.3</t>
        </is>
      </c>
      <c r="E55" s="23" t="inlineStr">
        <is>
          <t>post</t>
        </is>
      </c>
      <c r="F55" s="24" t="n">
        <v>1</v>
      </c>
      <c r="G55" s="25" t="n">
        <v>750</v>
      </c>
      <c r="H55" s="26">
        <f>F55*G55</f>
        <v/>
      </c>
      <c r="I55" s="23" t="inlineStr">
        <is>
          <t>VDL</t>
        </is>
      </c>
      <c r="J55" s="23" t="inlineStr">
        <is>
          <t>Richtprijs</t>
        </is>
      </c>
      <c r="K55" s="23" t="inlineStr"/>
    </row>
    <row r="56">
      <c r="A56" s="23" t="n">
        <v>23</v>
      </c>
      <c r="B56" s="23" t="inlineStr">
        <is>
          <t>Vervangen kozijnen, ramen en gevelpanelen/-onderdelen</t>
        </is>
      </c>
      <c r="C56" s="23" t="inlineStr">
        <is>
          <t>Vervangen beschadigde ruiten ZHR++/HR++ (U≤1,1), zo nodig gelaagd/gehard, incl. glaslatten</t>
        </is>
      </c>
      <c r="D56" s="23" t="inlineStr">
        <is>
          <t>BBN 3.1.3</t>
        </is>
      </c>
      <c r="E56" s="23" t="inlineStr">
        <is>
          <t>m2</t>
        </is>
      </c>
      <c r="F56" s="24" t="n">
        <v>25</v>
      </c>
      <c r="G56" s="25" t="n">
        <v>275</v>
      </c>
      <c r="H56" s="26">
        <f>F56*G56</f>
        <v/>
      </c>
      <c r="I56" s="23" t="inlineStr">
        <is>
          <t>OA glaszetter</t>
        </is>
      </c>
      <c r="J56" s="23" t="inlineStr">
        <is>
          <t>Richtprijs</t>
        </is>
      </c>
      <c r="K56" s="23" t="inlineStr">
        <is>
          <t>Hoeveelheid onbekend – schouw! Zie risico's</t>
        </is>
      </c>
    </row>
    <row r="57">
      <c r="A57" s="23" t="n">
        <v>23</v>
      </c>
      <c r="B57" s="23" t="inlineStr">
        <is>
          <t>Vervangen kozijnen, ramen en gevelpanelen/-onderdelen</t>
        </is>
      </c>
      <c r="C57" s="23" t="inlineStr">
        <is>
          <t>Privacyfolie ruiten sanitair blok (lichtdoorlatend, waterbestendig)</t>
        </is>
      </c>
      <c r="D57" s="23" t="inlineStr">
        <is>
          <t>BBN 3.1.2</t>
        </is>
      </c>
      <c r="E57" s="23" t="inlineStr">
        <is>
          <t>m2</t>
        </is>
      </c>
      <c r="F57" s="24" t="n">
        <v>20</v>
      </c>
      <c r="G57" s="25" t="n">
        <v>75</v>
      </c>
      <c r="H57" s="26">
        <f>F57*G57</f>
        <v/>
      </c>
      <c r="I57" s="23" t="inlineStr">
        <is>
          <t>OA</t>
        </is>
      </c>
      <c r="J57" s="23" t="inlineStr">
        <is>
          <t>Richtprijs</t>
        </is>
      </c>
      <c r="K57" s="23" t="inlineStr"/>
    </row>
    <row r="58">
      <c r="A58" s="23" t="n">
        <v>23</v>
      </c>
      <c r="B58" s="23" t="inlineStr">
        <is>
          <t>Vervangen kozijnen, ramen en gevelpanelen/-onderdelen</t>
        </is>
      </c>
      <c r="C58" s="23" t="inlineStr">
        <is>
          <t>Doorgeefluik binnenzijde demonteren, sluiten, isoleren en afwerken</t>
        </is>
      </c>
      <c r="D58" s="23" t="inlineStr">
        <is>
          <t>BBN 3.1.4</t>
        </is>
      </c>
      <c r="E58" s="23" t="inlineStr">
        <is>
          <t>st</t>
        </is>
      </c>
      <c r="F58" s="24" t="n">
        <v>1</v>
      </c>
      <c r="G58" s="25" t="n">
        <v>1250</v>
      </c>
      <c r="H58" s="26">
        <f>F58*G58</f>
        <v/>
      </c>
      <c r="I58" s="23" t="inlineStr">
        <is>
          <t>VDL</t>
        </is>
      </c>
      <c r="J58" s="23" t="inlineStr">
        <is>
          <t>Richtprijs</t>
        </is>
      </c>
      <c r="K58" s="23" t="inlineStr"/>
    </row>
    <row r="59">
      <c r="A59" s="23" t="n">
        <v>24</v>
      </c>
      <c r="B59" s="23" t="inlineStr">
        <is>
          <t>Vervangen vloerafwerking en plinten</t>
        </is>
      </c>
      <c r="C59" s="23" t="inlineStr">
        <is>
          <t>Verwijderen bestaande vloerafwerking incl. lijmresten en egalisatie (excl. terrazzo gangen en toilettegels)</t>
        </is>
      </c>
      <c r="D59" s="23" t="inlineStr">
        <is>
          <t>BBN 3.2.1</t>
        </is>
      </c>
      <c r="E59" s="23" t="inlineStr">
        <is>
          <t>m2</t>
        </is>
      </c>
      <c r="F59" s="24" t="n">
        <v>1100</v>
      </c>
      <c r="G59" s="25" t="n">
        <v>12</v>
      </c>
      <c r="H59" s="26">
        <f>F59*G59</f>
        <v/>
      </c>
      <c r="I59" s="23" t="inlineStr">
        <is>
          <t>OA vloerenlegger</t>
        </is>
      </c>
      <c r="J59" s="23" t="inlineStr">
        <is>
          <t>Richtprijs</t>
        </is>
      </c>
      <c r="K59" s="23" t="inlineStr">
        <is>
          <t>m² uitmeten op bijlage 3</t>
        </is>
      </c>
    </row>
    <row r="60">
      <c r="A60" s="23" t="n">
        <v>24</v>
      </c>
      <c r="B60" s="23" t="inlineStr">
        <is>
          <t>Vervangen vloerafwerking en plinten</t>
        </is>
      </c>
      <c r="C60" s="23" t="inlineStr">
        <is>
          <t>Ondergrond herstellen en egaliseren</t>
        </is>
      </c>
      <c r="D60" s="23" t="inlineStr">
        <is>
          <t>BBN 3.2.1</t>
        </is>
      </c>
      <c r="E60" s="23" t="inlineStr">
        <is>
          <t>m2</t>
        </is>
      </c>
      <c r="F60" s="24" t="n">
        <v>1100</v>
      </c>
      <c r="G60" s="25" t="n">
        <v>15</v>
      </c>
      <c r="H60" s="26">
        <f>F60*G60</f>
        <v/>
      </c>
      <c r="I60" s="23" t="inlineStr">
        <is>
          <t>OA vloerenlegger</t>
        </is>
      </c>
      <c r="J60" s="23" t="inlineStr">
        <is>
          <t>Richtprijs</t>
        </is>
      </c>
      <c r="K60" s="23" t="inlineStr">
        <is>
          <t>Volledig aangenomen</t>
        </is>
      </c>
    </row>
    <row r="61">
      <c r="A61" s="23" t="n">
        <v>24</v>
      </c>
      <c r="B61" s="23" t="inlineStr">
        <is>
          <t>Vervangen vloerafwerking en plinten</t>
        </is>
      </c>
      <c r="C61" s="23" t="inlineStr">
        <is>
          <t>Linoleum/marmoleum (kamers, gangen, keukenzones)</t>
        </is>
      </c>
      <c r="D61" s="23" t="inlineStr">
        <is>
          <t>BBN 3.2.2/3.2.4</t>
        </is>
      </c>
      <c r="E61" s="23" t="inlineStr">
        <is>
          <t>m2</t>
        </is>
      </c>
      <c r="F61" s="24" t="n">
        <v>950</v>
      </c>
      <c r="G61" s="25" t="n">
        <v>44</v>
      </c>
      <c r="H61" s="26">
        <f>F61*G61</f>
        <v/>
      </c>
      <c r="I61" s="23" t="inlineStr">
        <is>
          <t>OA vloerenlegger</t>
        </is>
      </c>
      <c r="J61" s="23" t="inlineStr">
        <is>
          <t>Richtprijs</t>
        </is>
      </c>
      <c r="K61" s="23" t="inlineStr"/>
    </row>
    <row r="62">
      <c r="A62" s="23" t="n">
        <v>24</v>
      </c>
      <c r="B62" s="23" t="inlineStr">
        <is>
          <t>Vervangen vloerafwerking en plinten</t>
        </is>
      </c>
      <c r="C62" s="23" t="inlineStr">
        <is>
          <t>Tapijttegels zitgedeelten woonkamer</t>
        </is>
      </c>
      <c r="D62" s="23" t="inlineStr">
        <is>
          <t>BBN 3.2.4</t>
        </is>
      </c>
      <c r="E62" s="23" t="inlineStr">
        <is>
          <t>m2</t>
        </is>
      </c>
      <c r="F62" s="24" t="n">
        <v>100</v>
      </c>
      <c r="G62" s="25" t="n">
        <v>36</v>
      </c>
      <c r="H62" s="26">
        <f>F62*G62</f>
        <v/>
      </c>
      <c r="I62" s="23" t="inlineStr">
        <is>
          <t>OA vloerenlegger</t>
        </is>
      </c>
      <c r="J62" s="23" t="inlineStr">
        <is>
          <t>Richtprijs</t>
        </is>
      </c>
      <c r="K62" s="23" t="inlineStr">
        <is>
          <t>BBN 3.2.2 spreekt zichzelf tegen (linoleum/tapijttegels)</t>
        </is>
      </c>
    </row>
    <row r="63">
      <c r="A63" s="23" t="n">
        <v>24</v>
      </c>
      <c r="B63" s="23" t="inlineStr">
        <is>
          <t>Vervangen vloerafwerking en plinten</t>
        </is>
      </c>
      <c r="C63" s="23" t="inlineStr">
        <is>
          <t>Hardhouten plint 54x15 mm</t>
        </is>
      </c>
      <c r="D63" s="23" t="inlineStr">
        <is>
          <t>BBN 3.2.2</t>
        </is>
      </c>
      <c r="E63" s="23" t="inlineStr">
        <is>
          <t>m1</t>
        </is>
      </c>
      <c r="F63" s="24" t="n">
        <v>900</v>
      </c>
      <c r="G63" s="25" t="n">
        <v>14</v>
      </c>
      <c r="H63" s="26">
        <f>F63*G63</f>
        <v/>
      </c>
      <c r="I63" s="23" t="inlineStr">
        <is>
          <t>VDL</t>
        </is>
      </c>
      <c r="J63" s="23" t="inlineStr">
        <is>
          <t>Richtprijs</t>
        </is>
      </c>
      <c r="K63" s="23" t="inlineStr"/>
    </row>
    <row r="64">
      <c r="A64" s="23" t="n">
        <v>24</v>
      </c>
      <c r="B64" s="23" t="inlineStr">
        <is>
          <t>Vervangen vloerafwerking en plinten</t>
        </is>
      </c>
      <c r="C64" s="23" t="inlineStr">
        <is>
          <t>Overgangsprofielen en dorpels (natte ruimten, buitendeuren)</t>
        </is>
      </c>
      <c r="D64" s="23" t="inlineStr">
        <is>
          <t>BBN 3.2.1</t>
        </is>
      </c>
      <c r="E64" s="23" t="inlineStr">
        <is>
          <t>st</t>
        </is>
      </c>
      <c r="F64" s="24" t="n">
        <v>45</v>
      </c>
      <c r="G64" s="25" t="n">
        <v>65</v>
      </c>
      <c r="H64" s="26">
        <f>F64*G64</f>
        <v/>
      </c>
      <c r="I64" s="23" t="inlineStr">
        <is>
          <t>VDL</t>
        </is>
      </c>
      <c r="J64" s="23" t="inlineStr">
        <is>
          <t>Richtprijs</t>
        </is>
      </c>
      <c r="K64" s="23" t="inlineStr"/>
    </row>
    <row r="65">
      <c r="A65" s="23" t="n">
        <v>24</v>
      </c>
      <c r="B65" s="23" t="inlineStr">
        <is>
          <t>Vervangen vloerafwerking en plinten</t>
        </is>
      </c>
      <c r="C65" s="23" t="inlineStr">
        <is>
          <t>Herstel en reinigen tegels toiletruimten</t>
        </is>
      </c>
      <c r="D65" s="23" t="inlineStr">
        <is>
          <t>BBN 3.2.3</t>
        </is>
      </c>
      <c r="E65" s="23" t="inlineStr">
        <is>
          <t>post</t>
        </is>
      </c>
      <c r="F65" s="24" t="n">
        <v>1</v>
      </c>
      <c r="G65" s="25" t="n">
        <v>1200</v>
      </c>
      <c r="H65" s="26">
        <f>F65*G65</f>
        <v/>
      </c>
      <c r="I65" s="23" t="inlineStr">
        <is>
          <t>VDL</t>
        </is>
      </c>
      <c r="J65" s="23" t="inlineStr">
        <is>
          <t>Richtprijs</t>
        </is>
      </c>
      <c r="K65" s="23" t="inlineStr"/>
    </row>
    <row r="66">
      <c r="A66" s="23" t="n">
        <v>25</v>
      </c>
      <c r="B66" s="23" t="inlineStr">
        <is>
          <t>Aanpassen binnenwanden, -kozijnen en deuren</t>
        </is>
      </c>
      <c r="C66" s="23" t="inlineStr">
        <is>
          <t>Slopen niet-dragende binnenwanden + herstel aansluitvlakken</t>
        </is>
      </c>
      <c r="D66" s="23" t="inlineStr">
        <is>
          <t>BBN 3.3.1</t>
        </is>
      </c>
      <c r="E66" s="23" t="inlineStr">
        <is>
          <t>post</t>
        </is>
      </c>
      <c r="F66" s="24" t="n">
        <v>1</v>
      </c>
      <c r="G66" s="25" t="n">
        <v>8500</v>
      </c>
      <c r="H66" s="26">
        <f>F66*G66</f>
        <v/>
      </c>
      <c r="I66" s="23" t="inlineStr">
        <is>
          <t>VDL</t>
        </is>
      </c>
      <c r="J66" s="23" t="inlineStr">
        <is>
          <t>Richtprijs</t>
        </is>
      </c>
      <c r="K66" s="23" t="inlineStr"/>
    </row>
    <row r="67">
      <c r="A67" s="23" t="n">
        <v>25</v>
      </c>
      <c r="B67" s="23" t="inlineStr">
        <is>
          <t>Aanpassen binnenwanden, -kozijnen en deuren</t>
        </is>
      </c>
      <c r="C67" s="23" t="inlineStr">
        <is>
          <t>Glaswanden zorgvuldig demonteren, labelen, beschermd opslaan voor hergebruik</t>
        </is>
      </c>
      <c r="D67" s="23" t="inlineStr">
        <is>
          <t>BBN 3.3.2</t>
        </is>
      </c>
      <c r="E67" s="23" t="inlineStr">
        <is>
          <t>post</t>
        </is>
      </c>
      <c r="F67" s="24" t="n">
        <v>1</v>
      </c>
      <c r="G67" s="25" t="n">
        <v>4500</v>
      </c>
      <c r="H67" s="26">
        <f>F67*G67</f>
        <v/>
      </c>
      <c r="I67" s="23" t="inlineStr">
        <is>
          <t>VDL</t>
        </is>
      </c>
      <c r="J67" s="23" t="inlineStr">
        <is>
          <t>Richtprijs</t>
        </is>
      </c>
      <c r="K67" s="23" t="inlineStr">
        <is>
          <t>Herplaatsing elders valt niet expliciet in scope – vragen</t>
        </is>
      </c>
    </row>
    <row r="68">
      <c r="A68" s="23" t="n">
        <v>25</v>
      </c>
      <c r="B68" s="23" t="inlineStr">
        <is>
          <t>Aanpassen binnenwanden, -kozijnen en deuren</t>
        </is>
      </c>
      <c r="C68" s="23" t="inlineStr">
        <is>
          <t>Metal-stud wand EI30, dubbel beplaat, geïsoleerd, tot betondek, gelijmd op vloer (vloerverwarming)</t>
        </is>
      </c>
      <c r="D68" s="23" t="inlineStr">
        <is>
          <t>BBN 3.3.1/3.3.3</t>
        </is>
      </c>
      <c r="E68" s="23" t="inlineStr">
        <is>
          <t>m2</t>
        </is>
      </c>
      <c r="F68" s="24" t="n">
        <v>1000</v>
      </c>
      <c r="G68" s="25" t="n">
        <v>105</v>
      </c>
      <c r="H68" s="26">
        <f>F68*G68</f>
        <v/>
      </c>
      <c r="I68" s="23" t="inlineStr">
        <is>
          <t>VDL</t>
        </is>
      </c>
      <c r="J68" s="23" t="inlineStr">
        <is>
          <t>Richtprijs</t>
        </is>
      </c>
      <c r="K68" s="23" t="inlineStr">
        <is>
          <t>Uitgangspunt: ca. 300 m1 × 3,3 m tot betondek – uitmeten op bijlage 1 en 4</t>
        </is>
      </c>
    </row>
    <row r="69">
      <c r="A69" s="23" t="n">
        <v>25</v>
      </c>
      <c r="B69" s="23" t="inlineStr">
        <is>
          <t>Aanpassen binnenwanden, -kozijnen en deuren</t>
        </is>
      </c>
      <c r="C69" s="23" t="inlineStr">
        <is>
          <t>Toeslag verhoogde geluidsisolatie (47 dB noord, 59 dB kantoor/spreekruimten)</t>
        </is>
      </c>
      <c r="D69" s="23" t="inlineStr">
        <is>
          <t>BBN 3.3.2/3.3.3</t>
        </is>
      </c>
      <c r="E69" s="23" t="inlineStr">
        <is>
          <t>m2</t>
        </is>
      </c>
      <c r="F69" s="24" t="n">
        <v>250</v>
      </c>
      <c r="G69" s="25" t="n">
        <v>38</v>
      </c>
      <c r="H69" s="26">
        <f>F69*G69</f>
        <v/>
      </c>
      <c r="I69" s="23" t="inlineStr">
        <is>
          <t>VDL</t>
        </is>
      </c>
      <c r="J69" s="23" t="inlineStr">
        <is>
          <t>Richtprijs</t>
        </is>
      </c>
      <c r="K69" s="23" t="inlineStr">
        <is>
          <t>59 dB is zwaar voor metal-stud: navragen</t>
        </is>
      </c>
    </row>
    <row r="70">
      <c r="A70" s="23" t="n">
        <v>25</v>
      </c>
      <c r="B70" s="23" t="inlineStr">
        <is>
          <t>Aanpassen binnenwanden, -kozijnen en deuren</t>
        </is>
      </c>
      <c r="C70" s="23" t="inlineStr">
        <is>
          <t>Scanbehang + sauswerk wanden (beide zijden)</t>
        </is>
      </c>
      <c r="D70" s="23" t="inlineStr">
        <is>
          <t>BBN 3.3.1</t>
        </is>
      </c>
      <c r="E70" s="23" t="inlineStr">
        <is>
          <t>m2</t>
        </is>
      </c>
      <c r="F70" s="24" t="n">
        <v>2000</v>
      </c>
      <c r="G70" s="25" t="n">
        <v>14</v>
      </c>
      <c r="H70" s="26">
        <f>F70*G70</f>
        <v/>
      </c>
      <c r="I70" s="23" t="inlineStr">
        <is>
          <t>OA schilder</t>
        </is>
      </c>
      <c r="J70" s="23" t="inlineStr">
        <is>
          <t>Richtprijs</t>
        </is>
      </c>
      <c r="K70" s="23" t="inlineStr"/>
    </row>
    <row r="71">
      <c r="A71" s="23" t="n">
        <v>25</v>
      </c>
      <c r="B71" s="23" t="inlineStr">
        <is>
          <t>Aanpassen binnenwanden, -kozijnen en deuren</t>
        </is>
      </c>
      <c r="C71" s="23" t="inlineStr">
        <is>
          <t>Deurstel EI30 akoestisch, 40-44 mm, insteekslot, elektrische sluitplaat (voorbereid op Trigion), drangers</t>
        </is>
      </c>
      <c r="D71" s="23" t="inlineStr">
        <is>
          <t>BBN 3.4.2</t>
        </is>
      </c>
      <c r="E71" s="23" t="inlineStr">
        <is>
          <t>st</t>
        </is>
      </c>
      <c r="F71" s="24" t="n">
        <v>35</v>
      </c>
      <c r="G71" s="25" t="n">
        <v>2150</v>
      </c>
      <c r="H71" s="26">
        <f>F71*G71</f>
        <v/>
      </c>
      <c r="I71" s="23" t="inlineStr">
        <is>
          <t>VDL / OA leverancier</t>
        </is>
      </c>
      <c r="J71" s="23" t="inlineStr">
        <is>
          <t>Offerte aanvragen</t>
        </is>
      </c>
      <c r="K71" s="23" t="inlineStr">
        <is>
          <t>Levertijd kritisch voor planning</t>
        </is>
      </c>
    </row>
    <row r="72">
      <c r="A72" s="23" t="n">
        <v>25</v>
      </c>
      <c r="B72" s="23" t="inlineStr">
        <is>
          <t>Aanpassen binnenwanden, -kozijnen en deuren</t>
        </is>
      </c>
      <c r="C72" s="23" t="inlineStr">
        <is>
          <t>Overige binnendeurstellen (techniek, berging, gemeenschappelijk)</t>
        </is>
      </c>
      <c r="D72" s="23" t="inlineStr">
        <is>
          <t>BBN 3.4.1</t>
        </is>
      </c>
      <c r="E72" s="23" t="inlineStr">
        <is>
          <t>st</t>
        </is>
      </c>
      <c r="F72" s="24" t="n">
        <v>8</v>
      </c>
      <c r="G72" s="25" t="n">
        <v>1250</v>
      </c>
      <c r="H72" s="26">
        <f>F72*G72</f>
        <v/>
      </c>
      <c r="I72" s="23" t="inlineStr">
        <is>
          <t>VDL</t>
        </is>
      </c>
      <c r="J72" s="23" t="inlineStr">
        <is>
          <t>Richtprijs</t>
        </is>
      </c>
      <c r="K72" s="23" t="inlineStr"/>
    </row>
    <row r="73">
      <c r="A73" s="23" t="n">
        <v>25</v>
      </c>
      <c r="B73" s="23" t="inlineStr">
        <is>
          <t>Aanpassen binnenwanden, -kozijnen en deuren</t>
        </is>
      </c>
      <c r="C73" s="23" t="inlineStr">
        <is>
          <t>Sluitplan / cilinders met moedersleutelsysteem</t>
        </is>
      </c>
      <c r="D73" s="23" t="inlineStr">
        <is>
          <t>BBN 3.4.1</t>
        </is>
      </c>
      <c r="E73" s="23" t="inlineStr">
        <is>
          <t>st</t>
        </is>
      </c>
      <c r="F73" s="24" t="n">
        <v>45</v>
      </c>
      <c r="G73" s="25" t="n">
        <v>110</v>
      </c>
      <c r="H73" s="26">
        <f>F73*G73</f>
        <v/>
      </c>
      <c r="I73" s="23" t="inlineStr">
        <is>
          <t>OA</t>
        </is>
      </c>
      <c r="J73" s="23" t="inlineStr">
        <is>
          <t>Richtprijs</t>
        </is>
      </c>
      <c r="K73" s="23" t="inlineStr"/>
    </row>
    <row r="74">
      <c r="A74" s="23" t="n">
        <v>25</v>
      </c>
      <c r="B74" s="23" t="inlineStr">
        <is>
          <t>Aanpassen binnenwanden, -kozijnen en deuren</t>
        </is>
      </c>
      <c r="C74" s="23" t="inlineStr">
        <is>
          <t>Kleefmagneten/openzetvoorzieningen verkeersdeuren (mechanisch deel)</t>
        </is>
      </c>
      <c r="D74" s="23" t="inlineStr">
        <is>
          <t>BBN 3.4.1</t>
        </is>
      </c>
      <c r="E74" s="23" t="inlineStr">
        <is>
          <t>st</t>
        </is>
      </c>
      <c r="F74" s="24" t="n">
        <v>10</v>
      </c>
      <c r="G74" s="25" t="n">
        <v>260</v>
      </c>
      <c r="H74" s="26">
        <f>F74*G74</f>
        <v/>
      </c>
      <c r="I74" s="23" t="inlineStr">
        <is>
          <t>VDL</t>
        </is>
      </c>
      <c r="J74" s="23" t="inlineStr">
        <is>
          <t>Richtprijs</t>
        </is>
      </c>
      <c r="K74" s="23" t="inlineStr"/>
    </row>
    <row r="75">
      <c r="A75" s="23" t="n">
        <v>26</v>
      </c>
      <c r="B75" s="23" t="inlineStr">
        <is>
          <t>Vervangen plafondafwerking</t>
        </is>
      </c>
      <c r="C75" s="23" t="inlineStr">
        <is>
          <t>Verwijderen bestaand plafond incl. constructie</t>
        </is>
      </c>
      <c r="D75" s="23" t="inlineStr">
        <is>
          <t>BBN 3.5</t>
        </is>
      </c>
      <c r="E75" s="23" t="inlineStr">
        <is>
          <t>m2</t>
        </is>
      </c>
      <c r="F75" s="24" t="n">
        <v>1250</v>
      </c>
      <c r="G75" s="25" t="n">
        <v>8</v>
      </c>
      <c r="H75" s="26">
        <f>F75*G75</f>
        <v/>
      </c>
      <c r="I75" s="23" t="inlineStr">
        <is>
          <t>OA plafondmonteur</t>
        </is>
      </c>
      <c r="J75" s="23" t="inlineStr">
        <is>
          <t>Richtprijs</t>
        </is>
      </c>
      <c r="K75" s="23" t="inlineStr"/>
    </row>
    <row r="76">
      <c r="A76" s="23" t="n">
        <v>26</v>
      </c>
      <c r="B76" s="23" t="inlineStr">
        <is>
          <t>Vervangen plafondafwerking</t>
        </is>
      </c>
      <c r="C76" s="23" t="inlineStr">
        <is>
          <t>Nieuw systeemplafond 600x600 incl. inspectieluiken en aanpassingen armaturen/roosters</t>
        </is>
      </c>
      <c r="D76" s="23" t="inlineStr">
        <is>
          <t>BBN 3.5</t>
        </is>
      </c>
      <c r="E76" s="23" t="inlineStr">
        <is>
          <t>m2</t>
        </is>
      </c>
      <c r="F76" s="24" t="n">
        <v>1200</v>
      </c>
      <c r="G76" s="25" t="n">
        <v>42</v>
      </c>
      <c r="H76" s="26">
        <f>F76*G76</f>
        <v/>
      </c>
      <c r="I76" s="23" t="inlineStr">
        <is>
          <t>OA plafondmonteur</t>
        </is>
      </c>
      <c r="J76" s="23" t="inlineStr">
        <is>
          <t>Richtprijs</t>
        </is>
      </c>
      <c r="K76" s="23" t="inlineStr"/>
    </row>
    <row r="77">
      <c r="A77" s="23" t="n">
        <v>27</v>
      </c>
      <c r="B77" s="23" t="inlineStr">
        <is>
          <t>Aanpassen zonwering</t>
        </is>
      </c>
      <c r="C77" s="23" t="inlineStr">
        <is>
          <t>Demonteren bestaande binnenzonwering</t>
        </is>
      </c>
      <c r="D77" s="23" t="inlineStr">
        <is>
          <t>BBN 3.7.1</t>
        </is>
      </c>
      <c r="E77" s="23" t="inlineStr">
        <is>
          <t>post</t>
        </is>
      </c>
      <c r="F77" s="24" t="n">
        <v>1</v>
      </c>
      <c r="G77" s="25" t="n">
        <v>1500</v>
      </c>
      <c r="H77" s="26">
        <f>F77*G77</f>
        <v/>
      </c>
      <c r="I77" s="23" t="inlineStr">
        <is>
          <t>VDL</t>
        </is>
      </c>
      <c r="J77" s="23" t="inlineStr">
        <is>
          <t>Richtprijs</t>
        </is>
      </c>
      <c r="K77" s="23" t="inlineStr">
        <is>
          <t>E&amp;W 4.1.3 zegt: pand heeft geen zonwering – navragen</t>
        </is>
      </c>
    </row>
    <row r="78">
      <c r="A78" s="23" t="n">
        <v>27</v>
      </c>
      <c r="B78" s="23" t="inlineStr">
        <is>
          <t>Aanpassen zonwering</t>
        </is>
      </c>
      <c r="C78" s="23" t="inlineStr">
        <is>
          <t>Verduisterende gordijnen incl. rails, gelijk aan verdiepingen</t>
        </is>
      </c>
      <c r="D78" s="23" t="inlineStr">
        <is>
          <t>BBN 3.7.1</t>
        </is>
      </c>
      <c r="E78" s="23" t="inlineStr">
        <is>
          <t>m1</t>
        </is>
      </c>
      <c r="F78" s="24" t="n">
        <v>150</v>
      </c>
      <c r="G78" s="25" t="n">
        <v>95</v>
      </c>
      <c r="H78" s="26">
        <f>F78*G78</f>
        <v/>
      </c>
      <c r="I78" s="23" t="inlineStr">
        <is>
          <t>OA stoffeerder</t>
        </is>
      </c>
      <c r="J78" s="23" t="inlineStr">
        <is>
          <t>Richtprijs</t>
        </is>
      </c>
      <c r="K78" s="23" t="inlineStr">
        <is>
          <t>Raamlengtes uitmeten</t>
        </is>
      </c>
    </row>
    <row r="79">
      <c r="A79" s="23" t="n">
        <v>28</v>
      </c>
      <c r="B79" s="23" t="inlineStr">
        <is>
          <t>Realiseren vaste keukenvoorzieningen en pantry's</t>
        </is>
      </c>
      <c r="C79" s="23" t="inlineStr">
        <is>
          <t>Keukenblok woonkamer (multiplex/HPL, RVS-grepen, onderkasten)</t>
        </is>
      </c>
      <c r="D79" s="23" t="inlineStr">
        <is>
          <t>BBN 3.7.2</t>
        </is>
      </c>
      <c r="E79" s="23" t="inlineStr">
        <is>
          <t>m1</t>
        </is>
      </c>
      <c r="F79" s="24" t="n">
        <v>10</v>
      </c>
      <c r="G79" s="25" t="n">
        <v>780</v>
      </c>
      <c r="H79" s="26">
        <f>F79*G79</f>
        <v/>
      </c>
      <c r="I79" s="23" t="inlineStr">
        <is>
          <t>OA keukenbouwer</t>
        </is>
      </c>
      <c r="J79" s="23" t="inlineStr">
        <is>
          <t>Richtprijs</t>
        </is>
      </c>
      <c r="K79" s="23" t="inlineStr"/>
    </row>
    <row r="80">
      <c r="A80" s="23" t="n">
        <v>28</v>
      </c>
      <c r="B80" s="23" t="inlineStr">
        <is>
          <t>Realiseren vaste keukenvoorzieningen en pantry's</t>
        </is>
      </c>
      <c r="C80" s="23" t="inlineStr">
        <is>
          <t>Keukenblok eetruimte</t>
        </is>
      </c>
      <c r="D80" s="23" t="inlineStr">
        <is>
          <t>BBN 3.7.2</t>
        </is>
      </c>
      <c r="E80" s="23" t="inlineStr">
        <is>
          <t>m1</t>
        </is>
      </c>
      <c r="F80" s="24" t="n">
        <v>7</v>
      </c>
      <c r="G80" s="25" t="n">
        <v>780</v>
      </c>
      <c r="H80" s="26">
        <f>F80*G80</f>
        <v/>
      </c>
      <c r="I80" s="23" t="inlineStr">
        <is>
          <t>OA keukenbouwer</t>
        </is>
      </c>
      <c r="J80" s="23" t="inlineStr">
        <is>
          <t>Richtprijs</t>
        </is>
      </c>
      <c r="K80" s="23" t="inlineStr"/>
    </row>
    <row r="81">
      <c r="A81" s="23" t="n">
        <v>28</v>
      </c>
      <c r="B81" s="23" t="inlineStr">
        <is>
          <t>Realiseren vaste keukenvoorzieningen en pantry's</t>
        </is>
      </c>
      <c r="C81" s="23" t="inlineStr">
        <is>
          <t>Inductiekookplaat 4-pits (4 st woonkamer, 2 st eetruimte)</t>
        </is>
      </c>
      <c r="D81" s="23" t="inlineStr">
        <is>
          <t>BBN 3.7.2</t>
        </is>
      </c>
      <c r="E81" s="23" t="inlineStr">
        <is>
          <t>st</t>
        </is>
      </c>
      <c r="F81" s="24" t="n">
        <v>6</v>
      </c>
      <c r="G81" s="25" t="n">
        <v>950</v>
      </c>
      <c r="H81" s="26">
        <f>F81*G81</f>
        <v/>
      </c>
      <c r="I81" s="23" t="inlineStr">
        <is>
          <t>OA keukenbouwer</t>
        </is>
      </c>
      <c r="J81" s="23" t="inlineStr">
        <is>
          <t>Richtprijs</t>
        </is>
      </c>
      <c r="K81" s="23" t="inlineStr">
        <is>
          <t>E&amp;W 10.7.6 zegt: keukenapparatuur door derden – navragen</t>
        </is>
      </c>
    </row>
    <row r="82">
      <c r="A82" s="23" t="n">
        <v>28</v>
      </c>
      <c r="B82" s="23" t="inlineStr">
        <is>
          <t>Realiseren vaste keukenvoorzieningen en pantry's</t>
        </is>
      </c>
      <c r="C82" s="23" t="inlineStr">
        <is>
          <t>RVS spoelbak + kraan gemeenschappelijke keukens</t>
        </is>
      </c>
      <c r="D82" s="23" t="inlineStr">
        <is>
          <t>BBN 3.7.2</t>
        </is>
      </c>
      <c r="E82" s="23" t="inlineStr">
        <is>
          <t>st</t>
        </is>
      </c>
      <c r="F82" s="24" t="n">
        <v>4</v>
      </c>
      <c r="G82" s="25" t="n">
        <v>520</v>
      </c>
      <c r="H82" s="26">
        <f>F82*G82</f>
        <v/>
      </c>
      <c r="I82" s="23" t="inlineStr">
        <is>
          <t>OA keukenbouwer</t>
        </is>
      </c>
      <c r="J82" s="23" t="inlineStr">
        <is>
          <t>Richtprijs</t>
        </is>
      </c>
      <c r="K82" s="23" t="inlineStr"/>
    </row>
    <row r="83">
      <c r="A83" s="23" t="n">
        <v>28</v>
      </c>
      <c r="B83" s="23" t="inlineStr">
        <is>
          <t>Realiseren vaste keukenvoorzieningen en pantry's</t>
        </is>
      </c>
      <c r="C83" s="23" t="inlineStr">
        <is>
          <t>Pantry slaapkamer (werkblad, onderkast, RVS spoelbak/kraan, nis koelkast, WCD)</t>
        </is>
      </c>
      <c r="D83" s="23" t="inlineStr">
        <is>
          <t>BBN 3.7.3</t>
        </is>
      </c>
      <c r="E83" s="23" t="inlineStr">
        <is>
          <t>st</t>
        </is>
      </c>
      <c r="F83" s="24" t="n">
        <v>29</v>
      </c>
      <c r="G83" s="25" t="n">
        <v>1350</v>
      </c>
      <c r="H83" s="26">
        <f>F83*G83</f>
        <v/>
      </c>
      <c r="I83" s="23" t="inlineStr">
        <is>
          <t>OA keukenbouwer</t>
        </is>
      </c>
      <c r="J83" s="23" t="inlineStr">
        <is>
          <t>Richtprijs</t>
        </is>
      </c>
      <c r="K83" s="23" t="inlineStr">
        <is>
          <t>Aantal volgens bijlage 1. LET OP: water/afvoer naar kamers staat NIET in E&amp;W</t>
        </is>
      </c>
    </row>
    <row r="84">
      <c r="A84" s="23" t="n">
        <v>29</v>
      </c>
      <c r="B84" s="23" t="inlineStr">
        <is>
          <t>Realiseren douchevoorzieningen</t>
        </is>
      </c>
      <c r="C84" s="23" t="inlineStr">
        <is>
          <t>Metal-stud douchewanden, watervaste beplating</t>
        </is>
      </c>
      <c r="D84" s="23" t="inlineStr">
        <is>
          <t>BBN 3.3.4</t>
        </is>
      </c>
      <c r="E84" s="23" t="inlineStr">
        <is>
          <t>m2</t>
        </is>
      </c>
      <c r="F84" s="24" t="n">
        <v>80</v>
      </c>
      <c r="G84" s="25" t="n">
        <v>125</v>
      </c>
      <c r="H84" s="26">
        <f>F84*G84</f>
        <v/>
      </c>
      <c r="I84" s="23" t="inlineStr">
        <is>
          <t>VDL</t>
        </is>
      </c>
      <c r="J84" s="23" t="inlineStr">
        <is>
          <t>Richtprijs</t>
        </is>
      </c>
      <c r="K84" s="23" t="inlineStr"/>
    </row>
    <row r="85">
      <c r="A85" s="23" t="n">
        <v>29</v>
      </c>
      <c r="B85" s="23" t="inlineStr">
        <is>
          <t>Realiseren douchevoorzieningen</t>
        </is>
      </c>
      <c r="C85" s="23" t="inlineStr">
        <is>
          <t>Wandtegelwerk douches incl. afdichtingssysteem</t>
        </is>
      </c>
      <c r="D85" s="23" t="inlineStr">
        <is>
          <t>BBN 3.3.4</t>
        </is>
      </c>
      <c r="E85" s="23" t="inlineStr">
        <is>
          <t>m2</t>
        </is>
      </c>
      <c r="F85" s="24" t="n">
        <v>160</v>
      </c>
      <c r="G85" s="25" t="n">
        <v>98</v>
      </c>
      <c r="H85" s="26">
        <f>F85*G85</f>
        <v/>
      </c>
      <c r="I85" s="23" t="inlineStr">
        <is>
          <t>OA tegelzetter</t>
        </is>
      </c>
      <c r="J85" s="23" t="inlineStr">
        <is>
          <t>Richtprijs</t>
        </is>
      </c>
      <c r="K85" s="23" t="inlineStr"/>
    </row>
    <row r="86">
      <c r="A86" s="23" t="n">
        <v>29</v>
      </c>
      <c r="B86" s="23" t="inlineStr">
        <is>
          <t>Realiseren douchevoorzieningen</t>
        </is>
      </c>
      <c r="C86" s="23" t="inlineStr">
        <is>
          <t>Vloertegels douches, antislip, incl. afschot en afdichting</t>
        </is>
      </c>
      <c r="D86" s="23" t="inlineStr">
        <is>
          <t>BBN 3.2.3</t>
        </is>
      </c>
      <c r="E86" s="23" t="inlineStr">
        <is>
          <t>m2</t>
        </is>
      </c>
      <c r="F86" s="24" t="n">
        <v>45</v>
      </c>
      <c r="G86" s="25" t="n">
        <v>145</v>
      </c>
      <c r="H86" s="26">
        <f>F86*G86</f>
        <v/>
      </c>
      <c r="I86" s="23" t="inlineStr">
        <is>
          <t>OA tegelzetter</t>
        </is>
      </c>
      <c r="J86" s="23" t="inlineStr">
        <is>
          <t>Richtprijs</t>
        </is>
      </c>
      <c r="K86" s="23" t="inlineStr"/>
    </row>
    <row r="87">
      <c r="A87" s="23" t="n">
        <v>29</v>
      </c>
      <c r="B87" s="23" t="inlineStr">
        <is>
          <t>Realiseren douchevoorzieningen</t>
        </is>
      </c>
      <c r="C87" s="23" t="inlineStr">
        <is>
          <t>Trespa douchedeuren incl. beslag en profielen</t>
        </is>
      </c>
      <c r="D87" s="23" t="inlineStr">
        <is>
          <t>BBN 3.4.3</t>
        </is>
      </c>
      <c r="E87" s="23" t="inlineStr">
        <is>
          <t>st</t>
        </is>
      </c>
      <c r="F87" s="24" t="n">
        <v>8</v>
      </c>
      <c r="G87" s="25" t="n">
        <v>680</v>
      </c>
      <c r="H87" s="26">
        <f>F87*G87</f>
        <v/>
      </c>
      <c r="I87" s="23" t="inlineStr">
        <is>
          <t>VDL</t>
        </is>
      </c>
      <c r="J87" s="23" t="inlineStr">
        <is>
          <t>Richtprijs</t>
        </is>
      </c>
      <c r="K87" s="23" t="inlineStr"/>
    </row>
    <row r="88">
      <c r="A88" s="23" t="n">
        <v>30</v>
      </c>
      <c r="B88" s="23" t="inlineStr">
        <is>
          <t>Realiseren hekwerk terrein</t>
        </is>
      </c>
      <c r="C88" s="23" t="inlineStr">
        <is>
          <t>Hekwerk ≥1 m op gemetselde muur, chemische ankers, 'zwevend' boven tegels, incl. opname</t>
        </is>
      </c>
      <c r="D88" s="23" t="inlineStr">
        <is>
          <t>BBN 3.8.2</t>
        </is>
      </c>
      <c r="E88" s="23" t="inlineStr">
        <is>
          <t>m1</t>
        </is>
      </c>
      <c r="F88" s="24" t="n">
        <v>30</v>
      </c>
      <c r="G88" s="25" t="n">
        <v>225</v>
      </c>
      <c r="H88" s="26">
        <f>F88*G88</f>
        <v/>
      </c>
      <c r="I88" s="23" t="inlineStr">
        <is>
          <t>OA hekwerk</t>
        </is>
      </c>
      <c r="J88" s="23" t="inlineStr">
        <is>
          <t>Richtprijs</t>
        </is>
      </c>
      <c r="K88" s="23" t="inlineStr">
        <is>
          <t>Lengte uitmeten</t>
        </is>
      </c>
    </row>
    <row r="89">
      <c r="A89" s="23" t="n">
        <v>31</v>
      </c>
      <c r="B89" s="23" t="inlineStr">
        <is>
          <t>Realiseren entree's, incl. bijbehorende voorzieningen</t>
        </is>
      </c>
      <c r="C89" s="23" t="inlineStr">
        <is>
          <t>Drie entrees tuinzijde met hergebruik dubbele deuren</t>
        </is>
      </c>
      <c r="D89" s="23" t="inlineStr">
        <is>
          <t>BBN 3.8.1</t>
        </is>
      </c>
      <c r="E89" s="23" t="inlineStr">
        <is>
          <t>st</t>
        </is>
      </c>
      <c r="F89" s="24" t="n">
        <v>3</v>
      </c>
      <c r="G89" s="25" t="n">
        <v>1500</v>
      </c>
      <c r="H89" s="26">
        <f>F89*G89</f>
        <v/>
      </c>
      <c r="I89" s="23" t="inlineStr">
        <is>
          <t>VDL</t>
        </is>
      </c>
      <c r="J89" s="23" t="inlineStr">
        <is>
          <t>Richtprijs</t>
        </is>
      </c>
      <c r="K89" s="23" t="inlineStr"/>
    </row>
    <row r="90">
      <c r="A90" s="23" t="n">
        <v>31</v>
      </c>
      <c r="B90" s="23" t="inlineStr">
        <is>
          <t>Realiseren entree's, incl. bijbehorende voorzieningen</t>
        </is>
      </c>
      <c r="C90" s="23" t="inlineStr">
        <is>
          <t>Betontegels 1x2x0,1 m als opstap + toegankelijke helling binnen ≤3 m</t>
        </is>
      </c>
      <c r="D90" s="23" t="inlineStr">
        <is>
          <t>BBN 3.8.1</t>
        </is>
      </c>
      <c r="E90" s="23" t="inlineStr">
        <is>
          <t>post</t>
        </is>
      </c>
      <c r="F90" s="24" t="n">
        <v>1</v>
      </c>
      <c r="G90" s="25" t="n">
        <v>4300</v>
      </c>
      <c r="H90" s="26">
        <f>F90*G90</f>
        <v/>
      </c>
      <c r="I90" s="23" t="inlineStr">
        <is>
          <t>VDL</t>
        </is>
      </c>
      <c r="J90" s="23" t="inlineStr">
        <is>
          <t>Richtprijs</t>
        </is>
      </c>
      <c r="K90" s="23" t="inlineStr"/>
    </row>
    <row r="91">
      <c r="A91" s="23" t="n">
        <v>32</v>
      </c>
      <c r="B91" s="23" t="inlineStr">
        <is>
          <t>Realiseren fietsenstalling</t>
        </is>
      </c>
      <c r="C91" s="23" t="inlineStr">
        <is>
          <t>Beloopbare vloerroosters Dejo o.g. over ventilatiekuil, incl. onderconstructie, thermisch verzinkt, demontabel</t>
        </is>
      </c>
      <c r="D91" s="23" t="inlineStr">
        <is>
          <t>BBN 3.8.3</t>
        </is>
      </c>
      <c r="E91" s="23" t="inlineStr">
        <is>
          <t>m2</t>
        </is>
      </c>
      <c r="F91" s="24" t="n">
        <v>25</v>
      </c>
      <c r="G91" s="25" t="n">
        <v>460</v>
      </c>
      <c r="H91" s="26">
        <f>F91*G91</f>
        <v/>
      </c>
      <c r="I91" s="23" t="inlineStr">
        <is>
          <t>OA staalbouw</t>
        </is>
      </c>
      <c r="J91" s="23" t="inlineStr">
        <is>
          <t>Richtprijs</t>
        </is>
      </c>
      <c r="K91" s="23" t="inlineStr">
        <is>
          <t>m² uitmeten; fietsenrekken niet genoemd</t>
        </is>
      </c>
    </row>
    <row r="92">
      <c r="A92" s="23" t="n">
        <v>32</v>
      </c>
      <c r="B92" s="23" t="inlineStr">
        <is>
          <t>Realiseren fietsenstalling</t>
        </is>
      </c>
      <c r="C92" s="23" t="inlineStr">
        <is>
          <t>Constructieve berekening roosters/oplegging</t>
        </is>
      </c>
      <c r="D92" s="23" t="inlineStr">
        <is>
          <t>BBN 3.8.3</t>
        </is>
      </c>
      <c r="E92" s="23" t="inlineStr">
        <is>
          <t>post</t>
        </is>
      </c>
      <c r="F92" s="24" t="n">
        <v>1</v>
      </c>
      <c r="G92" s="25" t="n">
        <v>1500</v>
      </c>
      <c r="H92" s="26">
        <f>F92*G92</f>
        <v/>
      </c>
      <c r="I92" s="23" t="inlineStr">
        <is>
          <t>Constructeur</t>
        </is>
      </c>
      <c r="J92" s="23" t="inlineStr">
        <is>
          <t>Richtprijs</t>
        </is>
      </c>
      <c r="K92" s="23" t="inlineStr"/>
    </row>
    <row r="93">
      <c r="A93" s="23" t="n">
        <v>33</v>
      </c>
      <c r="B93" s="23" t="inlineStr">
        <is>
          <t>Doorvoeringen inbranden voor de installaties</t>
        </is>
      </c>
      <c r="C93" s="23" t="inlineStr">
        <is>
          <t>Brandwerende doorvoeringen (W/E/data) incl. codering en logboek conform bovenverdiepingen (VMT Zwolle)</t>
        </is>
      </c>
      <c r="D93" s="23" t="inlineStr">
        <is>
          <t>BBN 3.3.1 / E&amp;W 4.6/10.5.7</t>
        </is>
      </c>
      <c r="E93" s="23" t="inlineStr">
        <is>
          <t>st</t>
        </is>
      </c>
      <c r="F93" s="24" t="n">
        <v>260</v>
      </c>
      <c r="G93" s="25" t="n">
        <v>48</v>
      </c>
      <c r="H93" s="26">
        <f>F93*G93</f>
        <v/>
      </c>
      <c r="I93" s="23" t="inlineStr">
        <is>
          <t>VMT Brandpreventie</t>
        </is>
      </c>
      <c r="J93" s="23" t="inlineStr">
        <is>
          <t>Offerte aanvragen</t>
        </is>
      </c>
      <c r="K93" s="23" t="inlineStr">
        <is>
          <t>VMT is 'voorgesteld' – offerte opvragen; aantal inschatten met installateurs</t>
        </is>
      </c>
    </row>
    <row r="94">
      <c r="A94" s="23" t="n">
        <v>34</v>
      </c>
      <c r="B94" s="23" t="inlineStr">
        <is>
          <t>Evt. andere bijkomende kosten (bouwkundig)</t>
        </is>
      </c>
      <c r="C94" s="23" t="inlineStr">
        <is>
          <t>Bescherming bestaande bouw (vloeren, lift, looproutes), nulmeting met foto's</t>
        </is>
      </c>
      <c r="D94" s="23" t="inlineStr">
        <is>
          <t>BBN 6.1</t>
        </is>
      </c>
      <c r="E94" s="23" t="inlineStr">
        <is>
          <t>post</t>
        </is>
      </c>
      <c r="F94" s="24" t="n">
        <v>1</v>
      </c>
      <c r="G94" s="25" t="n">
        <v>5000</v>
      </c>
      <c r="H94" s="26">
        <f>F94*G94</f>
        <v/>
      </c>
      <c r="I94" s="23" t="inlineStr">
        <is>
          <t>VDL</t>
        </is>
      </c>
      <c r="J94" s="23" t="inlineStr">
        <is>
          <t>Richtprijs</t>
        </is>
      </c>
      <c r="K94" s="23" t="inlineStr"/>
    </row>
    <row r="95">
      <c r="A95" s="23" t="n">
        <v>34</v>
      </c>
      <c r="B95" s="23" t="inlineStr">
        <is>
          <t>Evt. andere bijkomende kosten (bouwkundig)</t>
        </is>
      </c>
      <c r="C95" s="23" t="inlineStr">
        <is>
          <t>Opleveringsschoonmaak</t>
        </is>
      </c>
      <c r="D95" s="23" t="inlineStr">
        <is>
          <t>BBN 6.2</t>
        </is>
      </c>
      <c r="E95" s="23" t="inlineStr">
        <is>
          <t>post</t>
        </is>
      </c>
      <c r="F95" s="24" t="n">
        <v>1</v>
      </c>
      <c r="G95" s="25" t="n">
        <v>3500</v>
      </c>
      <c r="H95" s="26">
        <f>F95*G95</f>
        <v/>
      </c>
      <c r="I95" s="23" t="inlineStr">
        <is>
          <t>OA schoonmaak</t>
        </is>
      </c>
      <c r="J95" s="23" t="inlineStr">
        <is>
          <t>Richtprijs</t>
        </is>
      </c>
      <c r="K95" s="23" t="inlineStr"/>
    </row>
    <row r="96">
      <c r="A96" s="23" t="n">
        <v>36</v>
      </c>
      <c r="B96" s="23" t="inlineStr">
        <is>
          <t>Engineering en coördinatiekosten</t>
        </is>
      </c>
      <c r="C96" s="23" t="inlineStr">
        <is>
          <t>Bouwkundige engineering, detaillering, constructeur</t>
        </is>
      </c>
      <c r="D96" s="23" t="inlineStr">
        <is>
          <t>BBN 4.1</t>
        </is>
      </c>
      <c r="E96" s="23" t="inlineStr">
        <is>
          <t>post</t>
        </is>
      </c>
      <c r="F96" s="24" t="n">
        <v>1</v>
      </c>
      <c r="G96" s="25" t="n">
        <v>12000</v>
      </c>
      <c r="H96" s="26">
        <f>F96*G96</f>
        <v/>
      </c>
      <c r="I96" s="23" t="inlineStr">
        <is>
          <t>VDL / adviseur</t>
        </is>
      </c>
      <c r="J96" s="23" t="inlineStr">
        <is>
          <t>Richtprijs</t>
        </is>
      </c>
      <c r="K96" s="23" t="inlineStr"/>
    </row>
    <row r="97">
      <c r="A97" s="23" t="n">
        <v>36</v>
      </c>
      <c r="B97" s="23" t="inlineStr">
        <is>
          <t>Engineering en coördinatiekosten</t>
        </is>
      </c>
      <c r="C97" s="23" t="inlineStr">
        <is>
          <t>Installatie-engineering: werktekeningen, VABI, tapwater-, licht-, kabelberekeningen</t>
        </is>
      </c>
      <c r="D97" s="23" t="inlineStr">
        <is>
          <t>E&amp;W 3.7/3.9</t>
        </is>
      </c>
      <c r="E97" s="23" t="inlineStr">
        <is>
          <t>post</t>
        </is>
      </c>
      <c r="F97" s="24" t="n">
        <v>1</v>
      </c>
      <c r="G97" s="25" t="n">
        <v>18000</v>
      </c>
      <c r="H97" s="26">
        <f>F97*G97</f>
        <v/>
      </c>
      <c r="I97" s="23" t="inlineStr">
        <is>
          <t>OA installateurs</t>
        </is>
      </c>
      <c r="J97" s="23" t="inlineStr">
        <is>
          <t>Richtprijs</t>
        </is>
      </c>
      <c r="K97" s="23" t="inlineStr">
        <is>
          <t>Reken op 5 weken review-cyclus met Winkelman</t>
        </is>
      </c>
    </row>
    <row r="98">
      <c r="A98" s="23" t="n">
        <v>36</v>
      </c>
      <c r="B98" s="23" t="inlineStr">
        <is>
          <t>Engineering en coördinatiekosten</t>
        </is>
      </c>
      <c r="C98" s="23" t="inlineStr">
        <is>
          <t>Projectleiding, werkvoorbereiding, coördinatie nevenaannemers (Trigion) en VGM-coördinatie</t>
        </is>
      </c>
      <c r="D98" s="23" t="inlineStr">
        <is>
          <t>BBN 3.9 / E&amp;W 3.3</t>
        </is>
      </c>
      <c r="E98" s="23" t="inlineStr">
        <is>
          <t>post</t>
        </is>
      </c>
      <c r="F98" s="24" t="n">
        <v>1</v>
      </c>
      <c r="G98" s="25" t="n">
        <v>16000</v>
      </c>
      <c r="H98" s="26">
        <f>F98*G98</f>
        <v/>
      </c>
      <c r="I98" s="23" t="inlineStr">
        <is>
          <t>VDL</t>
        </is>
      </c>
      <c r="J98" s="23" t="inlineStr">
        <is>
          <t>Richtprijs</t>
        </is>
      </c>
      <c r="K98" s="23" t="inlineStr"/>
    </row>
    <row r="99">
      <c r="A99" s="23" t="n">
        <v>37</v>
      </c>
      <c r="B99" s="23" t="inlineStr">
        <is>
          <t>Revisietekeningen</t>
        </is>
      </c>
      <c r="C99" s="23" t="inlineStr">
        <is>
          <t>Revisietekeningen (PDF + DWG/IFC), technisch dossier, opleverdossier fysiek + digitaal</t>
        </is>
      </c>
      <c r="D99" s="23" t="inlineStr">
        <is>
          <t>BBN 4.6 / E&amp;W 3.9</t>
        </is>
      </c>
      <c r="E99" s="23" t="inlineStr">
        <is>
          <t>post</t>
        </is>
      </c>
      <c r="F99" s="24" t="n">
        <v>1</v>
      </c>
      <c r="G99" s="25" t="n">
        <v>6500</v>
      </c>
      <c r="H99" s="26">
        <f>F99*G99</f>
        <v/>
      </c>
      <c r="I99" s="23" t="inlineStr">
        <is>
          <t>VDL + OA</t>
        </is>
      </c>
      <c r="J99" s="23" t="inlineStr">
        <is>
          <t>Richtprijs</t>
        </is>
      </c>
      <c r="K99" s="23" t="inlineStr"/>
    </row>
    <row r="100">
      <c r="A100" s="23" t="n">
        <v>38</v>
      </c>
      <c r="B100" s="23" t="inlineStr">
        <is>
          <t>Algemene Bouwplaatskosten (ABK)</t>
        </is>
      </c>
      <c r="C100" s="23" t="inlineStr">
        <is>
          <t>Uitvoerder (VCA-Vol, dagelijks aanwezig)</t>
        </is>
      </c>
      <c r="D100" s="23" t="inlineStr">
        <is>
          <t>BBN 3.9</t>
        </is>
      </c>
      <c r="E100" s="23" t="inlineStr">
        <is>
          <t>week</t>
        </is>
      </c>
      <c r="F100" s="24" t="n">
        <v>12</v>
      </c>
      <c r="G100" s="25" t="n">
        <v>2600</v>
      </c>
      <c r="H100" s="26">
        <f>F100*G100</f>
        <v/>
      </c>
      <c r="I100" s="23" t="inlineStr">
        <is>
          <t>VDL</t>
        </is>
      </c>
      <c r="J100" s="23" t="inlineStr">
        <is>
          <t>Richtprijs</t>
        </is>
      </c>
      <c r="K100" s="23" t="inlineStr">
        <is>
          <t>Doorlooptijd ca. 12 weken</t>
        </is>
      </c>
    </row>
    <row r="101">
      <c r="A101" s="23" t="n">
        <v>38</v>
      </c>
      <c r="B101" s="23" t="inlineStr">
        <is>
          <t>Algemene Bouwplaatskosten (ABK)</t>
        </is>
      </c>
      <c r="C101" s="23" t="inlineStr">
        <is>
          <t>Inpandige schaft-, sanitaire en opslagvoorzieningen</t>
        </is>
      </c>
      <c r="D101" s="23" t="inlineStr">
        <is>
          <t>BBN 4.3</t>
        </is>
      </c>
      <c r="E101" s="23" t="inlineStr">
        <is>
          <t>post</t>
        </is>
      </c>
      <c r="F101" s="24" t="n">
        <v>1</v>
      </c>
      <c r="G101" s="25" t="n">
        <v>5500</v>
      </c>
      <c r="H101" s="26">
        <f>F101*G101</f>
        <v/>
      </c>
      <c r="I101" s="23" t="inlineStr">
        <is>
          <t>VDL</t>
        </is>
      </c>
      <c r="J101" s="23" t="inlineStr">
        <is>
          <t>Richtprijs</t>
        </is>
      </c>
      <c r="K101" s="23" t="inlineStr"/>
    </row>
    <row r="102">
      <c r="A102" s="23" t="n">
        <v>38</v>
      </c>
      <c r="B102" s="23" t="inlineStr">
        <is>
          <t>Algemene Bouwplaatskosten (ABK)</t>
        </is>
      </c>
      <c r="C102" s="23" t="inlineStr">
        <is>
          <t>Afvalcontainers gescheiden afvoer incl. vergunning</t>
        </is>
      </c>
      <c r="D102" s="23" t="inlineStr">
        <is>
          <t>BBN 4.3/6.2</t>
        </is>
      </c>
      <c r="E102" s="23" t="inlineStr">
        <is>
          <t>st</t>
        </is>
      </c>
      <c r="F102" s="24" t="n">
        <v>12</v>
      </c>
      <c r="G102" s="25" t="n">
        <v>475</v>
      </c>
      <c r="H102" s="26">
        <f>F102*G102</f>
        <v/>
      </c>
      <c r="I102" s="23" t="inlineStr">
        <is>
          <t>OA afval</t>
        </is>
      </c>
      <c r="J102" s="23" t="inlineStr">
        <is>
          <t>Richtprijs</t>
        </is>
      </c>
      <c r="K102" s="23" t="inlineStr"/>
    </row>
    <row r="103">
      <c r="A103" s="23" t="n">
        <v>38</v>
      </c>
      <c r="B103" s="23" t="inlineStr">
        <is>
          <t>Algemene Bouwplaatskosten (ABK)</t>
        </is>
      </c>
      <c r="C103" s="23" t="inlineStr">
        <is>
          <t>V&amp;G-plan uitvoeringsfase, werkplan, bouwplaatsinrichting, afzettingen</t>
        </is>
      </c>
      <c r="D103" s="23" t="inlineStr">
        <is>
          <t>BBN 3.9/4.3/6.3</t>
        </is>
      </c>
      <c r="E103" s="23" t="inlineStr">
        <is>
          <t>post</t>
        </is>
      </c>
      <c r="F103" s="24" t="n">
        <v>1</v>
      </c>
      <c r="G103" s="25" t="n">
        <v>3500</v>
      </c>
      <c r="H103" s="26">
        <f>F103*G103</f>
        <v/>
      </c>
      <c r="I103" s="23" t="inlineStr">
        <is>
          <t>VDL</t>
        </is>
      </c>
      <c r="J103" s="23" t="inlineStr">
        <is>
          <t>Richtprijs</t>
        </is>
      </c>
      <c r="K103" s="23" t="inlineStr"/>
    </row>
    <row r="104">
      <c r="A104" s="23" t="n">
        <v>38</v>
      </c>
      <c r="B104" s="23" t="inlineStr">
        <is>
          <t>Algemene Bouwplaatskosten (ABK)</t>
        </is>
      </c>
      <c r="C104" s="23" t="inlineStr">
        <is>
          <t>Klein materieel, steigers/rolsteigers, transport</t>
        </is>
      </c>
      <c r="D104" s="23" t="inlineStr">
        <is>
          <t>BBN 4.2</t>
        </is>
      </c>
      <c r="E104" s="23" t="inlineStr">
        <is>
          <t>post</t>
        </is>
      </c>
      <c r="F104" s="24" t="n">
        <v>1</v>
      </c>
      <c r="G104" s="25" t="n">
        <v>4500</v>
      </c>
      <c r="H104" s="26">
        <f>F104*G104</f>
        <v/>
      </c>
      <c r="I104" s="23" t="inlineStr">
        <is>
          <t>VDL</t>
        </is>
      </c>
      <c r="J104" s="23" t="inlineStr">
        <is>
          <t>Richtprijs</t>
        </is>
      </c>
      <c r="K104" s="23" t="inlineStr"/>
    </row>
    <row r="105">
      <c r="A105" s="23" t="n">
        <v>38</v>
      </c>
      <c r="B105" s="23" t="inlineStr">
        <is>
          <t>Algemene Bouwplaatskosten (ABK)</t>
        </is>
      </c>
      <c r="C105" s="23" t="inlineStr">
        <is>
          <t>Hinderbeperking bewoond gebouw (stofschotten, geluidsarm werken, bewonerscommunicatie)</t>
        </is>
      </c>
      <c r="D105" s="23" t="inlineStr">
        <is>
          <t>E&amp;W 3.2 / BBN 4.4</t>
        </is>
      </c>
      <c r="E105" s="23" t="inlineStr">
        <is>
          <t>post</t>
        </is>
      </c>
      <c r="F105" s="24" t="n">
        <v>1</v>
      </c>
      <c r="G105" s="25" t="n">
        <v>3000</v>
      </c>
      <c r="H105" s="26">
        <f>F105*G105</f>
        <v/>
      </c>
      <c r="I105" s="23" t="inlineStr">
        <is>
          <t>VDL</t>
        </is>
      </c>
      <c r="J105" s="23" t="inlineStr">
        <is>
          <t>Richtprijs</t>
        </is>
      </c>
      <c r="K105" s="23" t="inlineStr"/>
    </row>
    <row r="106"/>
    <row r="107">
      <c r="C107" s="16" t="inlineStr">
        <is>
          <t>Totaal directe kosten (excl. opslagen AK/W&amp;R/CAR en risico's)</t>
        </is>
      </c>
      <c r="H107" s="28">
        <f>SUM(H2:H105)</f>
        <v/>
      </c>
    </row>
  </sheetData>
  <autoFilter ref="A1:K105"/>
  <conditionalFormatting sqref="J2:J105">
    <cfRule type="expression" priority="1" dxfId="0">
      <formula>$J2="Richtprijs"</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showDropDown="0" showInputMessage="0" showErrorMessage="0" allowBlank="1" type="list">
      <formula1>"Richtprijs,Offerte aanvragen,Offerte ontvangen,Eigen norm,Stelpost (voorgeschreven)"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55" customWidth="1" min="2" max="2"/>
    <col width="18" customWidth="1" min="3" max="3"/>
    <col width="8" customWidth="1" min="4" max="4"/>
    <col width="13" customWidth="1" min="5" max="5"/>
    <col width="15" customWidth="1" min="6" max="6"/>
    <col width="12" customWidth="1" min="7" max="7"/>
    <col width="9" customWidth="1" min="8" max="8"/>
    <col width="15" customWidth="1" min="9" max="9"/>
    <col width="60" customWidth="1" min="10" max="10"/>
  </cols>
  <sheetData>
    <row r="1">
      <c r="A1" s="22" t="inlineStr">
        <is>
          <t>Nr</t>
        </is>
      </c>
      <c r="B1" s="22" t="inlineStr">
        <is>
          <t>Risico</t>
        </is>
      </c>
      <c r="C1" s="22" t="inlineStr">
        <is>
          <t>Bron (§)</t>
        </is>
      </c>
      <c r="D1" s="22" t="inlineStr">
        <is>
          <t>Kans</t>
        </is>
      </c>
      <c r="E1" s="22" t="inlineStr">
        <is>
          <t>Impact (€)</t>
        </is>
      </c>
      <c r="F1" s="22" t="inlineStr">
        <is>
          <t>Verwachte waarde</t>
        </is>
      </c>
      <c r="G1" s="22" t="inlineStr">
        <is>
          <t>Meeprijzen? (Ja/Nee)</t>
        </is>
      </c>
      <c r="H1" s="22" t="inlineStr">
        <is>
          <t>Naar post</t>
        </is>
      </c>
      <c r="I1" s="22" t="inlineStr">
        <is>
          <t>Opgenomen bedrag</t>
        </is>
      </c>
      <c r="J1" s="22" t="inlineStr">
        <is>
          <t>Toelichting / beheersmaatregel</t>
        </is>
      </c>
    </row>
    <row r="2">
      <c r="A2" s="23" t="n">
        <v>1</v>
      </c>
      <c r="B2" s="23" t="inlineStr">
        <is>
          <t>Schade aan vloerverwarming bij boren/bevestigen (geen revisie beschikbaar)</t>
        </is>
      </c>
      <c r="C2" s="23" t="inlineStr">
        <is>
          <t>BBN 3.2.1 / E&amp;W 7.3</t>
        </is>
      </c>
      <c r="D2" s="29" t="n">
        <v>0.3</v>
      </c>
      <c r="E2" s="30" t="n">
        <v>8000</v>
      </c>
      <c r="F2" s="26">
        <f>D2*E2</f>
        <v/>
      </c>
      <c r="G2" s="31" t="inlineStr">
        <is>
          <t>Ja</t>
        </is>
      </c>
      <c r="H2" s="31" t="n">
        <v>13</v>
      </c>
      <c r="I2" s="26">
        <f>IF(G2="Ja",F2,0)</f>
        <v/>
      </c>
      <c r="J2" s="23" t="inlineStr">
        <is>
          <t>Valt onder garantie opdrachtnemer. IR-scan vooraf, boorlocaties markeren.</t>
        </is>
      </c>
    </row>
    <row r="3">
      <c r="A3" s="23" t="n">
        <v>2</v>
      </c>
      <c r="B3" s="23" t="inlineStr">
        <is>
          <t>Meer kapotte ruiten of kozijnvervanging dan aangenomen (25 m²)</t>
        </is>
      </c>
      <c r="C3" s="23" t="inlineStr">
        <is>
          <t>BBN 3.1.3</t>
        </is>
      </c>
      <c r="D3" s="29" t="n">
        <v>0.5</v>
      </c>
      <c r="E3" s="30" t="n">
        <v>6000</v>
      </c>
      <c r="F3" s="26">
        <f>D3*E3</f>
        <v/>
      </c>
      <c r="G3" s="31" t="inlineStr">
        <is>
          <t>Ja</t>
        </is>
      </c>
      <c r="H3" s="31" t="n">
        <v>23</v>
      </c>
      <c r="I3" s="26">
        <f>IF(G3="Ja",F3,0)</f>
        <v/>
      </c>
      <c r="J3" s="23" t="inlineStr">
        <is>
          <t>Scope stelt u zelf vast bij opname. Schouw vóór inschrijving, anders aanname expliciet maken.</t>
        </is>
      </c>
    </row>
    <row r="4">
      <c r="A4" s="23" t="n">
        <v>3</v>
      </c>
      <c r="B4" s="23" t="inlineStr">
        <is>
          <t>Wanden tot betondek met extra brandmanchetten rond bestaande leidingen boven de kamers</t>
        </is>
      </c>
      <c r="C4" s="23" t="inlineStr">
        <is>
          <t>BBN 3.3.1 / E&amp;W 7.1</t>
        </is>
      </c>
      <c r="D4" s="29" t="n">
        <v>0.4</v>
      </c>
      <c r="E4" s="30" t="n">
        <v>15000</v>
      </c>
      <c r="F4" s="26">
        <f>D4*E4</f>
        <v/>
      </c>
      <c r="G4" s="31" t="inlineStr">
        <is>
          <t>Ja</t>
        </is>
      </c>
      <c r="H4" s="31" t="n">
        <v>25</v>
      </c>
      <c r="I4" s="26">
        <f>IF(G4="Ja",F4,0)</f>
        <v/>
      </c>
      <c r="J4" s="23" t="inlineStr">
        <is>
          <t>Bestaande leidingen lopen over de kamers en moeten in de 'drukschotten' worden opgenomen.</t>
        </is>
      </c>
    </row>
    <row r="5">
      <c r="A5" s="23" t="n">
        <v>4</v>
      </c>
      <c r="B5" s="23" t="inlineStr">
        <is>
          <t>Capaciteit bestaande BMC onvoldoende (extra lus/paneel)</t>
        </is>
      </c>
      <c r="C5" s="23" t="inlineStr">
        <is>
          <t>E&amp;W 12.2.3</t>
        </is>
      </c>
      <c r="D5" s="29" t="n">
        <v>0.3</v>
      </c>
      <c r="E5" s="30" t="n">
        <v>6000</v>
      </c>
      <c r="F5" s="26">
        <f>D5*E5</f>
        <v/>
      </c>
      <c r="G5" s="31" t="inlineStr">
        <is>
          <t>Ja</t>
        </is>
      </c>
      <c r="H5" s="31" t="n">
        <v>20</v>
      </c>
      <c r="I5" s="26">
        <f>IF(G5="Ja",F5,0)</f>
        <v/>
      </c>
      <c r="J5" s="23" t="inlineStr">
        <is>
          <t>Capaciteit vooraf laten checken door de onderhoudspartij BMI.</t>
        </is>
      </c>
    </row>
    <row r="6">
      <c r="A6" s="23" t="n">
        <v>5</v>
      </c>
      <c r="B6" s="23" t="inlineStr">
        <is>
          <t>Ondergrond vloer vraagt zwaarder herstel dan egaliseren</t>
        </is>
      </c>
      <c r="C6" s="23" t="inlineStr">
        <is>
          <t>BBN 3.2.1</t>
        </is>
      </c>
      <c r="D6" s="29" t="n">
        <v>0.4</v>
      </c>
      <c r="E6" s="30" t="n">
        <v>6000</v>
      </c>
      <c r="F6" s="26">
        <f>D6*E6</f>
        <v/>
      </c>
      <c r="G6" s="31" t="inlineStr">
        <is>
          <t>Ja</t>
        </is>
      </c>
      <c r="H6" s="31" t="n">
        <v>24</v>
      </c>
      <c r="I6" s="26">
        <f>IF(G6="Ja",F6,0)</f>
        <v/>
      </c>
      <c r="J6" s="23" t="inlineStr"/>
    </row>
    <row r="7">
      <c r="A7" s="23" t="n">
        <v>6</v>
      </c>
      <c r="B7" s="23" t="inlineStr">
        <is>
          <t>Legionella: positieve monsters, spoelen/desinfectie, herbemonstering</t>
        </is>
      </c>
      <c r="C7" s="23" t="inlineStr">
        <is>
          <t>E&amp;W 6.2.5</t>
        </is>
      </c>
      <c r="D7" s="29" t="n">
        <v>0.2</v>
      </c>
      <c r="E7" s="30" t="n">
        <v>2500</v>
      </c>
      <c r="F7" s="26">
        <f>D7*E7</f>
        <v/>
      </c>
      <c r="G7" s="31" t="inlineStr">
        <is>
          <t>Ja</t>
        </is>
      </c>
      <c r="H7" s="31" t="n">
        <v>14</v>
      </c>
      <c r="I7" s="26">
        <f>IF(G7="Ja",F7,0)</f>
        <v/>
      </c>
      <c r="J7" s="23" t="inlineStr">
        <is>
          <t>Kosten volledig voor de aannemer.</t>
        </is>
      </c>
    </row>
    <row r="8">
      <c r="A8" s="23" t="n">
        <v>7</v>
      </c>
      <c r="B8" s="23" t="inlineStr">
        <is>
          <t>Productiviteitsverlies in bewoond gebouw (lawaaiig werk alleen 08–16 uur)</t>
        </is>
      </c>
      <c r="C8" s="23" t="inlineStr">
        <is>
          <t>E&amp;W 3.2</t>
        </is>
      </c>
      <c r="D8" s="29" t="n">
        <v>0.6</v>
      </c>
      <c r="E8" s="30" t="n">
        <v>5000</v>
      </c>
      <c r="F8" s="26">
        <f>D8*E8</f>
        <v/>
      </c>
      <c r="G8" s="31" t="inlineStr">
        <is>
          <t>Ja</t>
        </is>
      </c>
      <c r="H8" s="31" t="n">
        <v>38</v>
      </c>
      <c r="I8" s="26">
        <f>IF(G8="Ja",F8,0)</f>
        <v/>
      </c>
      <c r="J8" s="23" t="inlineStr"/>
    </row>
    <row r="9">
      <c r="A9" s="23" t="n">
        <v>8</v>
      </c>
      <c r="B9" s="23" t="inlineStr">
        <is>
          <t>Versnelling om vóór eind 2026 op te leveren (overwerk, extra ploegen, kerstperiode)</t>
        </is>
      </c>
      <c r="C9" s="23" t="inlineStr">
        <is>
          <t>Offerteaanvraag / BBN 6.4</t>
        </is>
      </c>
      <c r="D9" s="29" t="n">
        <v>0.5</v>
      </c>
      <c r="E9" s="30" t="n">
        <v>12000</v>
      </c>
      <c r="F9" s="26">
        <f>D9*E9</f>
        <v/>
      </c>
      <c r="G9" s="31" t="inlineStr">
        <is>
          <t>Ja</t>
        </is>
      </c>
      <c r="H9" s="31" t="n">
        <v>38</v>
      </c>
      <c r="I9" s="26">
        <f>IF(G9="Ja",F9,0)</f>
        <v/>
      </c>
      <c r="J9" s="23" t="inlineStr">
        <is>
          <t>Overwerk mag alleen met schriftelijke toestemming. Beter: realistische planning met benoemde afhankelijkheden.</t>
        </is>
      </c>
    </row>
    <row r="10">
      <c r="A10" s="23" t="n">
        <v>9</v>
      </c>
      <c r="B10" s="23" t="inlineStr">
        <is>
          <t>Pantry's slaapkamers: water en afvoer staan niet in E&amp;W</t>
        </is>
      </c>
      <c r="C10" s="23" t="inlineStr">
        <is>
          <t>BBN 3.7.3 vs E&amp;W 6.1/6.2</t>
        </is>
      </c>
      <c r="D10" s="29" t="n">
        <v>0.5</v>
      </c>
      <c r="E10" s="30" t="n">
        <v>25000</v>
      </c>
      <c r="F10" s="26">
        <f>D10*E10</f>
        <v/>
      </c>
      <c r="G10" s="31" t="inlineStr">
        <is>
          <t>Nee</t>
        </is>
      </c>
      <c r="H10" s="31" t="n">
        <v>14</v>
      </c>
      <c r="I10" s="26">
        <f>IF(G10="Ja",F10,0)</f>
        <v/>
      </c>
      <c r="J10" s="23" t="inlineStr">
        <is>
          <t>Groot verschil tussen documenten. Niet meegeprijsd: aanname vastleggen, bij voorkeur via de inkoper laten bevestigen.</t>
        </is>
      </c>
    </row>
    <row r="11">
      <c r="A11" s="23" t="n">
        <v>10</v>
      </c>
      <c r="B11" s="23" t="inlineStr">
        <is>
          <t>WKO-capaciteit / inregelen onvoldoende (nooit waterzijdig ingeregeld)</t>
        </is>
      </c>
      <c r="C11" s="23" t="inlineStr">
        <is>
          <t>E&amp;W 4.2.2/7.1</t>
        </is>
      </c>
      <c r="D11" s="29" t="n">
        <v>0.15</v>
      </c>
      <c r="E11" s="30" t="n">
        <v>8000</v>
      </c>
      <c r="F11" s="26">
        <f>D11*E11</f>
        <v/>
      </c>
      <c r="G11" s="31" t="inlineStr">
        <is>
          <t>Nee</t>
        </is>
      </c>
      <c r="H11" s="31" t="n">
        <v>13</v>
      </c>
      <c r="I11" s="26">
        <f>IF(G11="Ja",F11,0)</f>
        <v/>
      </c>
      <c r="J11" s="23" t="inlineStr">
        <is>
          <t>Het bestek stelt dat de aannemer mag uitgaan van voldoende capaciteit, dus dit risico ligt bij de opdrachtgever.</t>
        </is>
      </c>
    </row>
    <row r="12"/>
    <row r="13">
      <c r="B13" s="16" t="inlineStr">
        <is>
          <t>Totaal meegeprijsde risico's</t>
        </is>
      </c>
      <c r="I13" s="28">
        <f>SUM(I2:I11)</f>
        <v/>
      </c>
    </row>
    <row r="14">
      <c r="B14" s="32" t="inlineStr">
        <is>
          <t>Totaal verwachte waarde alle risico's (ter info)</t>
        </is>
      </c>
      <c r="I14" s="20">
        <f>SUM(F2:F11)</f>
        <v/>
      </c>
    </row>
  </sheetData>
  <dataValidations count="1">
    <dataValidation sqref="G2:G11" showDropDown="0" showInputMessage="0" showErrorMessage="0" allowBlank="0" type="list">
      <formula1>"Ja,Nee"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60" customWidth="1" min="1" max="1"/>
    <col width="10" customWidth="1" min="2" max="2"/>
    <col width="14" customWidth="1" min="3" max="3"/>
    <col width="20" customWidth="1" min="4" max="4"/>
    <col width="50" customWidth="1" min="5" max="5"/>
  </cols>
  <sheetData>
    <row r="1">
      <c r="A1" s="4" t="inlineStr">
        <is>
          <t>Verrekenprijzen die E&amp;W apart vraagt (niet in het formulier)</t>
        </is>
      </c>
    </row>
    <row r="2"/>
    <row r="3">
      <c r="A3" s="33" t="inlineStr">
        <is>
          <t>Omschrijving</t>
        </is>
      </c>
      <c r="B3" s="33" t="inlineStr">
        <is>
          <t>Eenh.</t>
        </is>
      </c>
      <c r="C3" s="33" t="inlineStr">
        <is>
          <t>Prijs</t>
        </is>
      </c>
      <c r="D3" s="33" t="inlineStr">
        <is>
          <t>Status</t>
        </is>
      </c>
      <c r="E3" s="33" t="inlineStr">
        <is>
          <t>Bron</t>
        </is>
      </c>
    </row>
    <row r="4">
      <c r="A4" s="18" t="inlineStr">
        <is>
          <t>Herstel isolatie CV-leiding, steenwol 30 mm + alufolie, t/m DN25</t>
        </is>
      </c>
      <c r="B4" s="18" t="inlineStr">
        <is>
          <t>m1</t>
        </is>
      </c>
      <c r="C4" s="34" t="n">
        <v>28</v>
      </c>
      <c r="D4" s="18" t="inlineStr">
        <is>
          <t>Richtprijs</t>
        </is>
      </c>
      <c r="E4" s="18" t="inlineStr">
        <is>
          <t>E&amp;W 5.2 – meerwerk op basis van meterprijs</t>
        </is>
      </c>
    </row>
    <row r="5">
      <c r="A5" s="18" t="inlineStr">
        <is>
          <t>Herstel isolatie CV-leiding, steenwol 30 mm + alufolie, DN32–DN50</t>
        </is>
      </c>
      <c r="B5" s="18" t="inlineStr">
        <is>
          <t>m1</t>
        </is>
      </c>
      <c r="C5" s="34" t="n">
        <v>38</v>
      </c>
      <c r="D5" s="18" t="inlineStr">
        <is>
          <t>Richtprijs</t>
        </is>
      </c>
      <c r="E5" s="18" t="inlineStr">
        <is>
          <t>E&amp;W 5.2</t>
        </is>
      </c>
    </row>
    <row r="6">
      <c r="A6" s="18" t="inlineStr">
        <is>
          <t>Herstel isolatie GKW-leiding Armaflex AF-13/AF-19, t/m DN25</t>
        </is>
      </c>
      <c r="B6" s="18" t="inlineStr">
        <is>
          <t>m1</t>
        </is>
      </c>
      <c r="C6" s="34" t="n">
        <v>32</v>
      </c>
      <c r="D6" s="18" t="inlineStr">
        <is>
          <t>Richtprijs</t>
        </is>
      </c>
      <c r="E6" s="18" t="inlineStr">
        <is>
          <t>E&amp;W 5.2</t>
        </is>
      </c>
    </row>
    <row r="7">
      <c r="A7" s="18" t="inlineStr">
        <is>
          <t>Herstel isolatie GKW-leiding Armaflex AF-19, DN32–DN50</t>
        </is>
      </c>
      <c r="B7" s="18" t="inlineStr">
        <is>
          <t>m1</t>
        </is>
      </c>
      <c r="C7" s="34" t="n">
        <v>44</v>
      </c>
      <c r="D7" s="18" t="inlineStr">
        <is>
          <t>Richtprijs</t>
        </is>
      </c>
      <c r="E7" s="18" t="inlineStr">
        <is>
          <t>E&amp;W 5.2</t>
        </is>
      </c>
    </row>
    <row r="8">
      <c r="A8" s="18" t="inlineStr">
        <is>
          <t>Aansluitsnoer RJ-45 CAT6a afwijkende lengte (3,0 m)</t>
        </is>
      </c>
      <c r="B8" s="18" t="inlineStr">
        <is>
          <t>st</t>
        </is>
      </c>
      <c r="C8" s="34" t="n">
        <v>9</v>
      </c>
      <c r="D8" s="18" t="inlineStr">
        <is>
          <t>Richtprijs</t>
        </is>
      </c>
      <c r="E8" s="18" t="inlineStr">
        <is>
          <t>E&amp;W 11.2.1</t>
        </is>
      </c>
    </row>
    <row r="9">
      <c r="A9" s="18" t="inlineStr">
        <is>
          <t>Aansluitsnoer RJ-45 CAT6a afwijkende lengte (5,0 m)</t>
        </is>
      </c>
      <c r="B9" s="18" t="inlineStr">
        <is>
          <t>st</t>
        </is>
      </c>
      <c r="C9" s="34" t="n">
        <v>12</v>
      </c>
      <c r="D9" s="18" t="inlineStr">
        <is>
          <t>Richtprijs</t>
        </is>
      </c>
      <c r="E9" s="18" t="inlineStr">
        <is>
          <t>E&amp;W 11.2.1</t>
        </is>
      </c>
    </row>
    <row r="10">
      <c r="A10" s="18" t="inlineStr">
        <is>
          <t>Patchsnoer RJ-45 CAT6a afwijkende kleur/lengte</t>
        </is>
      </c>
      <c r="B10" s="18" t="inlineStr">
        <is>
          <t>st</t>
        </is>
      </c>
      <c r="C10" s="34" t="n">
        <v>8</v>
      </c>
      <c r="D10" s="18" t="inlineStr">
        <is>
          <t>Richtprijs</t>
        </is>
      </c>
      <c r="E10" s="18" t="inlineStr">
        <is>
          <t>E&amp;W 11.2.1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 customWidth="1" min="1" max="1"/>
    <col width="70" customWidth="1" min="2" max="2"/>
    <col width="18" customWidth="1" min="3" max="3"/>
    <col width="70" customWidth="1" min="4" max="4"/>
  </cols>
  <sheetData>
    <row r="1">
      <c r="B1" s="4" t="inlineStr">
        <is>
          <t>Optimalisaties (optioneel, formulierregels 49–51) – tellen niet mee in de gunning</t>
        </is>
      </c>
    </row>
    <row r="2"/>
    <row r="3">
      <c r="A3" s="33" t="inlineStr">
        <is>
          <t>#</t>
        </is>
      </c>
      <c r="B3" s="33" t="inlineStr">
        <is>
          <t>Omschrijving (voordeel t.o.v. basis)</t>
        </is>
      </c>
      <c r="C3" s="33" t="inlineStr">
        <is>
          <t>Indicatie meer/minder</t>
        </is>
      </c>
      <c r="D3" s="33" t="inlineStr">
        <is>
          <t>Toelichting / voorwaarde</t>
        </is>
      </c>
    </row>
    <row r="4">
      <c r="A4" s="18" t="n">
        <v>1</v>
      </c>
      <c r="B4" s="35" t="inlineStr">
        <is>
          <t>Prefab/gestandaardiseerde pantry-units voor alle slaapkamers (één type)</t>
        </is>
      </c>
      <c r="C4" s="36" t="n">
        <v>-6000</v>
      </c>
      <c r="D4" s="35" t="inlineStr">
        <is>
          <t>Minder montage-uren en kortere levertijd. Past binnen HPL/RVS-eisen BBN 3.7.3.</t>
        </is>
      </c>
    </row>
    <row r="5">
      <c r="A5" s="18" t="n">
        <v>2</v>
      </c>
      <c r="B5" s="35" t="inlineStr">
        <is>
          <t>Alternatief fabricaat recirculatie-afzuigkappen (aantoonbaar gelijkwaardig)</t>
        </is>
      </c>
      <c r="C5" s="36" t="n">
        <v>-5000</v>
      </c>
      <c r="D5" s="35" t="inlineStr">
        <is>
          <t>Toegestaan volgens E&amp;W 8.4.6/8.4.7. Gelijkwaardigheid onderbouwen.</t>
        </is>
      </c>
    </row>
    <row r="6">
      <c r="A6" s="18" t="n">
        <v>3</v>
      </c>
      <c r="B6" s="35" t="inlineStr">
        <is>
          <t>Bestaande plafondprofielen hergebruiken waar ze in goede staat zijn, alleen platen vervangen</t>
        </is>
      </c>
      <c r="C6" s="36" t="n">
        <v>-8000</v>
      </c>
      <c r="D6" s="35" t="inlineStr">
        <is>
          <t>BBN 3.5 gaat uit van volledige vervanging. Alleen in overleg en na opname.</t>
        </is>
      </c>
    </row>
    <row r="7">
      <c r="A7" s="18" t="n">
        <v>4</v>
      </c>
      <c r="B7" s="35" t="inlineStr">
        <is>
          <t>Planningsvoorstel: gefaseerde oplevering (eerst zuidvleugel, dan noord)</t>
        </is>
      </c>
      <c r="C7" s="36" t="n">
        <v>0</v>
      </c>
      <c r="D7" s="35" t="inlineStr">
        <is>
          <t>Geen kostenverschil, wel eerder bewoonbaar en minder planningsrisico.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2026-09-25T20:12:55Z</dcterms:created>
  <dcterms:modified xsi:type="dcterms:W3CDTF">2026-09-25T20:12:55Z</dcterms:modified>
</cp:coreProperties>
</file>