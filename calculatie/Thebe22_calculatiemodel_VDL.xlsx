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elichting" sheetId="1" state="visible" r:id="rId1"/>
    <sheet name="Inschrijfstaat" sheetId="2" state="visible" r:id="rId2"/>
    <sheet name="Begroting" sheetId="3" state="visible" r:id="rId3"/>
    <sheet name="Risicos" sheetId="4" state="visible" r:id="rId4"/>
    <sheet name="Eenheidsprijzen" sheetId="5" state="visible" r:id="rId5"/>
    <sheet name="Optimalisaties" sheetId="6" state="visible" r:id="rId6"/>
    <sheet name="NvI" sheetId="7" state="visible" r:id="rId7"/>
    <sheet name="Tellingen" sheetId="8" state="visible" r:id="rId8"/>
  </sheets>
  <definedNames>
    <definedName name="_xlnm._FilterDatabase" localSheetId="2" hidden="1">'Begroting'!$A$1:$K$107</definedName>
  </definedNames>
  <calcPr calcId="124519" fullCalcOnLoad="1"/>
</workbook>
</file>

<file path=xl/styles.xml><?xml version="1.0" encoding="utf-8"?>
<styleSheet xmlns="http://schemas.openxmlformats.org/spreadsheetml/2006/main">
  <numFmts count="4">
    <numFmt numFmtId="164" formatCode="#,##0;-#,##0;-"/>
    <numFmt numFmtId="165" formatCode="_ &quot;€&quot; * #,##0.00_ ;_ &quot;€&quot; * -#,##0.00_ ;_ &quot;€&quot; * &quot;-&quot;_ ;_ @_ "/>
    <numFmt numFmtId="166" formatCode="_ &quot;€&quot; * #,##0_ ;_ &quot;€&quot; * -#,##0_ ;_ &quot;€&quot; * &quot;-&quot;_ ;_ @_ "/>
    <numFmt numFmtId="167" formatCode="0.0%"/>
  </numFmts>
  <fonts count="7">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
      <name val="Arial"/>
      <color theme="1"/>
      <sz val="11"/>
    </font>
  </fonts>
  <fills count="7">
    <fill>
      <patternFill/>
    </fill>
    <fill>
      <patternFill patternType="gray125"/>
    </fill>
    <fill>
      <patternFill patternType="solid">
        <fgColor rgb="001F3864"/>
      </patternFill>
    </fill>
    <fill>
      <patternFill patternType="solid">
        <fgColor rgb="00FFFF00"/>
      </patternFill>
    </fill>
    <fill>
      <patternFill patternType="solid">
        <fgColor rgb="00E2EFDA"/>
      </patternFill>
    </fill>
    <fill>
      <patternFill patternType="solid">
        <fgColor rgb="00D9E1F2"/>
      </patternFill>
    </fill>
    <fill>
      <patternFill patternType="solid">
        <fgColor rgb="00FFC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4" fillId="2" borderId="1" applyAlignment="1" pivotButton="0" quotePrefix="0" xfId="0">
      <alignment wrapText="1"/>
    </xf>
    <xf numFmtId="0" fontId="0" fillId="5" borderId="0" pivotButton="0" quotePrefix="0" xfId="0"/>
    <xf numFmtId="0" fontId="3" fillId="5" borderId="0" pivotButton="0" quotePrefix="0" xfId="0"/>
    <xf numFmtId="166" fontId="3" fillId="5" borderId="0" pivotButton="0" quotePrefix="0" xfId="0"/>
    <xf numFmtId="0" fontId="3" fillId="0" borderId="1" pivotButton="0" quotePrefix="0" xfId="0"/>
    <xf numFmtId="0" fontId="2" fillId="0" borderId="1" pivotButton="0" quotePrefix="0" xfId="0"/>
    <xf numFmtId="0" fontId="0" fillId="0" borderId="1" pivotButton="0" quotePrefix="0" xfId="0"/>
    <xf numFmtId="166" fontId="6" fillId="0" borderId="1" pivotButton="0" quotePrefix="0" xfId="0"/>
    <xf numFmtId="166" fontId="3" fillId="0" borderId="1" pivotButton="0" quotePrefix="0" xfId="0"/>
    <xf numFmtId="10" fontId="5" fillId="3" borderId="1" pivotButton="0" quotePrefix="0" xfId="0"/>
    <xf numFmtId="0" fontId="6" fillId="0" borderId="1" pivotButton="0" quotePrefix="0" xfId="0"/>
    <xf numFmtId="0" fontId="3" fillId="0" borderId="0" pivotButton="0" quotePrefix="0" xfId="0"/>
    <xf numFmtId="166" fontId="3" fillId="6" borderId="0" pivotButton="0" quotePrefix="0" xfId="0"/>
    <xf numFmtId="0" fontId="6" fillId="0" borderId="0" pivotButton="0" quotePrefix="0" xfId="0"/>
    <xf numFmtId="0" fontId="5" fillId="3" borderId="0" pivotButton="0" quotePrefix="0" xfId="0"/>
    <xf numFmtId="166" fontId="6" fillId="0" borderId="0" pivotButton="0" quotePrefix="0" xfId="0"/>
    <xf numFmtId="167"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164" fontId="5" fillId="3" borderId="1" applyAlignment="1" pivotButton="0" quotePrefix="0" xfId="0">
      <alignment vertical="top" wrapText="1"/>
    </xf>
    <xf numFmtId="165" fontId="5" fillId="3" borderId="1" applyAlignment="1" pivotButton="0" quotePrefix="0" xfId="0">
      <alignment vertical="top" wrapText="1"/>
    </xf>
    <xf numFmtId="166" fontId="2" fillId="0" borderId="1" applyAlignment="1" pivotButton="0" quotePrefix="0" xfId="0">
      <alignment vertical="top" wrapText="1"/>
    </xf>
    <xf numFmtId="165" fontId="5" fillId="4" borderId="1" applyAlignment="1" pivotButton="0" quotePrefix="0" xfId="0">
      <alignment vertical="top" wrapText="1"/>
    </xf>
    <xf numFmtId="166" fontId="3" fillId="0" borderId="0" pivotButton="0" quotePrefix="0" xfId="0"/>
    <xf numFmtId="9" fontId="5" fillId="3" borderId="1" applyAlignment="1" pivotButton="0" quotePrefix="0" xfId="0">
      <alignment vertical="top" wrapText="1"/>
    </xf>
    <xf numFmtId="166" fontId="5" fillId="3" borderId="1" applyAlignment="1" pivotButton="0" quotePrefix="0" xfId="0">
      <alignment vertical="top" wrapText="1"/>
    </xf>
    <xf numFmtId="0" fontId="5" fillId="3" borderId="1" applyAlignment="1" pivotButton="0" quotePrefix="0" xfId="0">
      <alignment vertical="top" wrapText="1"/>
    </xf>
    <xf numFmtId="0" fontId="2" fillId="0" borderId="0" pivotButton="0" quotePrefix="0" xfId="0"/>
    <xf numFmtId="0" fontId="4" fillId="2" borderId="0" pivotButton="0" quotePrefix="0" xfId="0"/>
    <xf numFmtId="165" fontId="5" fillId="3" borderId="0" pivotButton="0" quotePrefix="0" xfId="0"/>
    <xf numFmtId="0" fontId="6" fillId="0" borderId="0" applyAlignment="1" pivotButton="0" quotePrefix="0" xfId="0">
      <alignment vertical="top" wrapText="1"/>
    </xf>
    <xf numFmtId="166" fontId="5" fillId="3" borderId="0" pivotButton="0" quotePrefix="0" xfId="0"/>
    <xf numFmtId="0" fontId="6" fillId="0" borderId="1" applyAlignment="1" pivotButton="0" quotePrefix="0" xfId="0">
      <alignment vertical="top" wrapText="1"/>
    </xf>
  </cellXfs>
  <cellStyles count="1">
    <cellStyle name="Normal" xfId="0" builtinId="0" hidden="0"/>
  </cellStyles>
  <dxfs count="1">
    <dxf>
      <font>
        <i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Calculatiemodel</author>
  </authors>
  <commentList>
    <comment ref="C31" authorId="0" shapeId="0">
      <text>
        <t>Richtwaarde. Gangbaar in de burgerlijke en utiliteitsbouw: AK circa 6–9%, W&amp;R circa 2–5%, CAR circa 0,15–0,35%. Vervang door uw eigen bedrijfspercentages.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 customWidth="1" min="1" max="1"/>
    <col width="110" customWidth="1" min="2" max="2"/>
  </cols>
  <sheetData>
    <row r="1">
      <c r="B1" s="1" t="inlineStr">
        <is>
          <t>Calculatiemodel Thebe 22 – VDL Bouw &amp; Onderhoud B.V.</t>
        </is>
      </c>
    </row>
    <row r="2">
      <c r="B2" s="2" t="inlineStr">
        <is>
          <t>Renovatie begane grond Thebe 22, Hilversum – meervoudig onderhandse aanbesteding, gunning op laagste prijs. Bedragen excl. BTW, prijspeil 2026.</t>
        </is>
      </c>
    </row>
    <row r="3">
      <c r="B3" s="2" t="inlineStr"/>
    </row>
    <row r="4">
      <c r="B4" s="3" t="inlineStr">
        <is>
          <t>Doel</t>
        </is>
      </c>
    </row>
    <row r="5">
      <c r="B5" s="2" t="inlineStr">
        <is>
          <t>Werkbegroting achter de officiële Inschrijfstaat (Bijlage 2). Het officiële formulier blijft ongewijzigd: het tabblad 'Inschrijfstaat' geeft per regel het bedrag dat u overneemt in de gele cel van het formulier (kolom 'Cel formulier').</t>
        </is>
      </c>
    </row>
    <row r="6">
      <c r="B6" s="2" t="inlineStr"/>
    </row>
    <row r="7">
      <c r="B7" s="3" t="inlineStr">
        <is>
          <t>Hoe te gebruiken</t>
        </is>
      </c>
    </row>
    <row r="8">
      <c r="B8" s="2" t="inlineStr">
        <is>
          <t>1. Tabblad 'Begroting': vul hoeveelheden (kolom F) en eenheidsprijzen (kolom G) in. Blauwe tekst op geel = invoer. Zwarte tekst = formule.</t>
        </is>
      </c>
    </row>
    <row r="9">
      <c r="B9" s="2" t="inlineStr">
        <is>
          <t>2. Vervang elke 'Richtprijs' door de eigen norm of een offerte van een onderaannemer, en zet de status op 'Offerte ontvangen' of 'Eigen norm'.</t>
        </is>
      </c>
    </row>
    <row r="10">
      <c r="B10" s="2" t="inlineStr">
        <is>
          <t>3. Tabblad 'Risicos': kies per risico of u het meeprijst (Ja/Nee). Meegeprijsde risico's gaan als verwachte waarde (kans × impact) naar de genoemde post.</t>
        </is>
      </c>
    </row>
    <row r="11">
      <c r="B11" s="2" t="inlineStr">
        <is>
          <t>4. Tabblad 'Inschrijfstaat': vul de percentages AK, W&amp;R en CAR in. Neem daarna de bedragen over in het formulier en controleer of het totaal gelijk is.</t>
        </is>
      </c>
    </row>
    <row r="12">
      <c r="B12" s="2" t="inlineStr">
        <is>
          <t>5. Tabblad 'Eenheidsprijzen': verrekenprijzen die E&amp;W apart vraagt (isolatieherstel, snoeren). Die passen niet in het formulier: vraag de inkoper waar ze horen.</t>
        </is>
      </c>
    </row>
    <row r="13">
      <c r="B13" s="2" t="inlineStr">
        <is>
          <t>6. Tabblad 'Optimalisaties': optioneel deel onderaan het formulier (tellen niet mee in de gunning).</t>
        </is>
      </c>
    </row>
    <row r="14">
      <c r="B14" s="2" t="inlineStr"/>
    </row>
    <row r="15">
      <c r="B15" s="3" t="inlineStr">
        <is>
          <t>BELANGRIJK – status van de bedragen</t>
        </is>
      </c>
    </row>
    <row r="16">
      <c r="B16" s="2" t="inlineStr">
        <is>
          <t>Alle eenheidsprijzen met status 'Richtprijs' zijn indicatieve marktprijzen (orde van grootte, 2025–2026), NIET gebaseerd op offertes. Ze dienen alleen als startpunt en vergelijkingsmaat. Omdat de gunning op laagste prijs gaat, bepalen de werkelijke offertes van uw onderaannemers de inschrijving.</t>
        </is>
      </c>
    </row>
    <row r="17">
      <c r="B17" s="2" t="inlineStr">
        <is>
          <t>Versie 2 (25-09-2026): installatie-aantallen zijn geteld op de tekeningen E.001, L.0.01-A/B, D.0.01-A/B, T.0.01, T.0.02, R.0.01 en R.-1.01 (zie tabblad 'Tellingen'). De Nota van Inlichtingen van 21-09-2026 is verwerkt (zie tabblad 'NvI'). De bouwkundige tekeningen (BBN bijlage 1 t/m 4) ontbreken nog: wandlengtes en vloeroppervlakken zijn afgeleid uit het stramien van 7,2 m. Tel alles na op DWG.</t>
        </is>
      </c>
    </row>
    <row r="18">
      <c r="B18" s="2" t="inlineStr"/>
    </row>
    <row r="19">
      <c r="B19" s="3" t="inlineStr">
        <is>
          <t>Regels uit de offerteaanvraag die gevolgen hebben voor de prijs</t>
        </is>
      </c>
    </row>
    <row r="20">
      <c r="B20" s="2" t="inlineStr">
        <is>
          <t>• Geen nul- of negatieve bedragen en geen symbolische prijzen. Elke regel in het formulier moet een reëel bedrag hebben (zie controle op het tabblad Inschrijfstaat).</t>
        </is>
      </c>
    </row>
    <row r="21">
      <c r="B21" s="2" t="inlineStr">
        <is>
          <t>• Geen kosten verschuiven tussen posten om het beoordelingsmodel te bespelen (manipulatief inschrijven leidt tot uitsluiting). Zet kosten waar ze thuishoren.</t>
        </is>
      </c>
    </row>
    <row r="22">
      <c r="B22" s="2" t="inlineStr">
        <is>
          <t>• Geen voorbehouden en geen varianten. Een voorbehoud op een eis betekent uitsluiting.</t>
        </is>
      </c>
    </row>
    <row r="23">
      <c r="B23" s="2" t="inlineStr">
        <is>
          <t>• Stelposten staan vast: € 10.000 tijdelijke voorzieningen (E&amp;W 5.1) en € 2.000 Salto-tag (E&amp;W 12.4).</t>
        </is>
      </c>
    </row>
    <row r="24">
      <c r="B24" s="2" t="inlineStr">
        <is>
          <t>• Gestanddoening minimaal 90 dagen. Het prijspeil is 2026 en het werk loopt in Q4 2026, dus geen indexering nodig.</t>
        </is>
      </c>
    </row>
    <row r="25">
      <c r="B25" s="2" t="inlineStr">
        <is>
          <t>• BBN vraagt een open begroting, het formulier niet. Dien alleen het formulier in (de offerteaanvraag zegt: niet afwijken) en houd dit model klaar voor een eventueel verificatiegesprek.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4"/>
  <sheetViews>
    <sheetView workbookViewId="0">
      <pane ySplit="3" topLeftCell="A4" activePane="bottomLeft" state="frozen"/>
      <selection pane="bottomLeft" activeCell="A1" sqref="A1"/>
    </sheetView>
  </sheetViews>
  <sheetFormatPr baseColWidth="8" defaultRowHeight="15"/>
  <cols>
    <col width="12" customWidth="1" min="1" max="1"/>
    <col width="58" customWidth="1" min="2" max="2"/>
    <col width="10" customWidth="1" min="3" max="3"/>
    <col width="15" customWidth="1" min="4" max="4"/>
    <col width="15" customWidth="1" min="5" max="5"/>
    <col width="16" customWidth="1" min="6" max="6"/>
    <col width="40" customWidth="1" min="7" max="7"/>
  </cols>
  <sheetData>
    <row r="1">
      <c r="A1" s="4" t="inlineStr">
        <is>
          <t>Over te nemen in Bijlage 2 – Inschrijfstaat Prijzenformulier (alleen de gele cellen van het formulier)</t>
        </is>
      </c>
    </row>
    <row r="2"/>
    <row r="3">
      <c r="A3" s="5" t="inlineStr">
        <is>
          <t>Cel formulier</t>
        </is>
      </c>
      <c r="B3" s="5" t="inlineStr">
        <is>
          <t>Omschrijving</t>
        </is>
      </c>
      <c r="C3" s="5" t="inlineStr">
        <is>
          <t>%</t>
        </is>
      </c>
      <c r="D3" s="5" t="inlineStr">
        <is>
          <t>Begroting</t>
        </is>
      </c>
      <c r="E3" s="5" t="inlineStr">
        <is>
          <t>Risicos</t>
        </is>
      </c>
      <c r="F3" s="5" t="inlineStr">
        <is>
          <t>Bedrag in formulier</t>
        </is>
      </c>
      <c r="G3" s="5" t="inlineStr">
        <is>
          <t>Controle</t>
        </is>
      </c>
    </row>
    <row r="4">
      <c r="A4" s="6" t="n"/>
      <c r="B4" s="7" t="inlineStr">
        <is>
          <t>Installatietechnische werkzaamheden</t>
        </is>
      </c>
      <c r="C4" s="6" t="n"/>
      <c r="D4" s="6" t="n"/>
      <c r="E4" s="6" t="n"/>
      <c r="F4" s="8">
        <f>SUM(F5:F13)</f>
        <v/>
      </c>
      <c r="G4" s="6" t="n"/>
    </row>
    <row r="5">
      <c r="A5" s="9" t="inlineStr">
        <is>
          <t>E13</t>
        </is>
      </c>
      <c r="B5" s="10" t="inlineStr">
        <is>
          <t>Ruimteverwarming en -koeling</t>
        </is>
      </c>
      <c r="C5" s="11" t="n"/>
      <c r="D5" s="12">
        <f>SUMIFS(Begroting!$H$2:$H$107,Begroting!$A$2:$A$107,13)</f>
        <v/>
      </c>
      <c r="E5" s="12">
        <f>SUMIFS(Risicos!$I$2:$I$13,Risicos!$H$2:$H$13,13)</f>
        <v/>
      </c>
      <c r="F5" s="13">
        <f>ROUND(D5+E5,0)</f>
        <v/>
      </c>
      <c r="G5" s="10">
        <f>IF(F5&lt;=0,"FOUT: nul-bedrag niet toegestaan","ok")</f>
        <v/>
      </c>
    </row>
    <row r="6">
      <c r="A6" s="9" t="inlineStr">
        <is>
          <t>E14</t>
        </is>
      </c>
      <c r="B6" s="10" t="inlineStr">
        <is>
          <t>Warmtapwaterinstallatie</t>
        </is>
      </c>
      <c r="C6" s="11" t="n"/>
      <c r="D6" s="12">
        <f>SUMIFS(Begroting!$H$2:$H$107,Begroting!$A$2:$A$107,14)</f>
        <v/>
      </c>
      <c r="E6" s="12">
        <f>SUMIFS(Risicos!$I$2:$I$13,Risicos!$H$2:$H$13,14)</f>
        <v/>
      </c>
      <c r="F6" s="13">
        <f>ROUND(D6+E6,0)</f>
        <v/>
      </c>
      <c r="G6" s="10">
        <f>IF(F6&lt;=0,"FOUT: nul-bedrag niet toegestaan","ok")</f>
        <v/>
      </c>
    </row>
    <row r="7">
      <c r="A7" s="9" t="inlineStr">
        <is>
          <t>E15</t>
        </is>
      </c>
      <c r="B7" s="10" t="inlineStr">
        <is>
          <t>Luchtbehandelingskast / ventilatie-installatie, incl. kanaalwerk</t>
        </is>
      </c>
      <c r="C7" s="11" t="n"/>
      <c r="D7" s="12">
        <f>SUMIFS(Begroting!$H$2:$H$107,Begroting!$A$2:$A$107,15)</f>
        <v/>
      </c>
      <c r="E7" s="12">
        <f>SUMIFS(Risicos!$I$2:$I$13,Risicos!$H$2:$H$13,15)</f>
        <v/>
      </c>
      <c r="F7" s="13">
        <f>ROUND(D7+E7,0)</f>
        <v/>
      </c>
      <c r="G7" s="10">
        <f>IF(F7&lt;=0,"FOUT: nul-bedrag niet toegestaan","ok")</f>
        <v/>
      </c>
    </row>
    <row r="8">
      <c r="A8" s="9" t="inlineStr">
        <is>
          <t>E16</t>
        </is>
      </c>
      <c r="B8" s="10" t="inlineStr">
        <is>
          <t>Verlichtingsinstallatie</t>
        </is>
      </c>
      <c r="C8" s="11" t="n"/>
      <c r="D8" s="12">
        <f>SUMIFS(Begroting!$H$2:$H$107,Begroting!$A$2:$A$107,16)</f>
        <v/>
      </c>
      <c r="E8" s="12">
        <f>SUMIFS(Risicos!$I$2:$I$13,Risicos!$H$2:$H$13,16)</f>
        <v/>
      </c>
      <c r="F8" s="13">
        <f>ROUND(D8+E8,0)</f>
        <v/>
      </c>
      <c r="G8" s="10">
        <f>IF(F8&lt;=0,"FOUT: nul-bedrag niet toegestaan","ok")</f>
        <v/>
      </c>
    </row>
    <row r="9">
      <c r="A9" s="9" t="inlineStr">
        <is>
          <t>E17</t>
        </is>
      </c>
      <c r="B9" s="10" t="inlineStr">
        <is>
          <t>Centrale elektrotechnische voorzieningen</t>
        </is>
      </c>
      <c r="C9" s="11" t="n"/>
      <c r="D9" s="12">
        <f>SUMIFS(Begroting!$H$2:$H$107,Begroting!$A$2:$A$107,17)</f>
        <v/>
      </c>
      <c r="E9" s="12">
        <f>SUMIFS(Risicos!$I$2:$I$13,Risicos!$H$2:$H$13,17)</f>
        <v/>
      </c>
      <c r="F9" s="13">
        <f>ROUND(D9+E9,0)</f>
        <v/>
      </c>
      <c r="G9" s="10">
        <f>IF(F9&lt;=0,"FOUT: nul-bedrag niet toegestaan","ok")</f>
        <v/>
      </c>
    </row>
    <row r="10">
      <c r="A10" s="9" t="inlineStr">
        <is>
          <t>E18</t>
        </is>
      </c>
      <c r="B10" s="10" t="inlineStr">
        <is>
          <t>Aanpassen regeltechniek</t>
        </is>
      </c>
      <c r="C10" s="11" t="n"/>
      <c r="D10" s="12">
        <f>SUMIFS(Begroting!$H$2:$H$107,Begroting!$A$2:$A$107,18)</f>
        <v/>
      </c>
      <c r="E10" s="12">
        <f>SUMIFS(Risicos!$I$2:$I$13,Risicos!$H$2:$H$13,18)</f>
        <v/>
      </c>
      <c r="F10" s="13">
        <f>ROUND(D10+E10,0)</f>
        <v/>
      </c>
      <c r="G10" s="10">
        <f>IF(F10&lt;=0,"FOUT: nul-bedrag niet toegestaan","ok")</f>
        <v/>
      </c>
    </row>
    <row r="11">
      <c r="A11" s="9" t="inlineStr">
        <is>
          <t>E19</t>
        </is>
      </c>
      <c r="B11" s="10" t="inlineStr">
        <is>
          <t>Communicatievoorzieningen</t>
        </is>
      </c>
      <c r="C11" s="11" t="n"/>
      <c r="D11" s="12">
        <f>SUMIFS(Begroting!$H$2:$H$107,Begroting!$A$2:$A$107,19)</f>
        <v/>
      </c>
      <c r="E11" s="12">
        <f>SUMIFS(Risicos!$I$2:$I$13,Risicos!$H$2:$H$13,19)</f>
        <v/>
      </c>
      <c r="F11" s="13">
        <f>ROUND(D11+E11,0)</f>
        <v/>
      </c>
      <c r="G11" s="10">
        <f>IF(F11&lt;=0,"FOUT: nul-bedrag niet toegestaan","ok")</f>
        <v/>
      </c>
    </row>
    <row r="12">
      <c r="A12" s="9" t="inlineStr">
        <is>
          <t>E20</t>
        </is>
      </c>
      <c r="B12" s="10" t="inlineStr">
        <is>
          <t>Toegangscontrole en beveiliging</t>
        </is>
      </c>
      <c r="C12" s="11" t="n"/>
      <c r="D12" s="12">
        <f>SUMIFS(Begroting!$H$2:$H$107,Begroting!$A$2:$A$107,20)</f>
        <v/>
      </c>
      <c r="E12" s="12">
        <f>SUMIFS(Risicos!$I$2:$I$13,Risicos!$H$2:$H$13,20)</f>
        <v/>
      </c>
      <c r="F12" s="13">
        <f>ROUND(D12+E12,0)</f>
        <v/>
      </c>
      <c r="G12" s="10">
        <f>IF(F12&lt;=0,"FOUT: nul-bedrag niet toegestaan","ok")</f>
        <v/>
      </c>
    </row>
    <row r="13">
      <c r="A13" s="9" t="inlineStr">
        <is>
          <t>E21</t>
        </is>
      </c>
      <c r="B13" s="10" t="inlineStr">
        <is>
          <t>Evt. andere bijkomende kosten (installaties)</t>
        </is>
      </c>
      <c r="C13" s="11" t="n"/>
      <c r="D13" s="12">
        <f>SUMIFS(Begroting!$H$2:$H$107,Begroting!$A$2:$A$107,21)</f>
        <v/>
      </c>
      <c r="E13" s="12">
        <f>SUMIFS(Risicos!$I$2:$I$13,Risicos!$H$2:$H$13,21)</f>
        <v/>
      </c>
      <c r="F13" s="13">
        <f>ROUND(D13+E13,0)</f>
        <v/>
      </c>
      <c r="G13" s="10">
        <f>IF(F13&lt;=0,"FOUT: nul-bedrag niet toegestaan","ok")</f>
        <v/>
      </c>
    </row>
    <row r="14">
      <c r="A14" s="6" t="n"/>
      <c r="B14" s="7" t="inlineStr">
        <is>
          <t>Bouwkundige voorzieningen</t>
        </is>
      </c>
      <c r="C14" s="6" t="n"/>
      <c r="D14" s="6" t="n"/>
      <c r="E14" s="6" t="n"/>
      <c r="F14" s="8">
        <f>SUM(F15:F26)</f>
        <v/>
      </c>
      <c r="G14" s="6" t="n"/>
    </row>
    <row r="15">
      <c r="A15" s="9" t="inlineStr">
        <is>
          <t>E23</t>
        </is>
      </c>
      <c r="B15" s="10" t="inlineStr">
        <is>
          <t>Vervangen kozijnen, ramen en gevelpanelen/-onderdelen</t>
        </is>
      </c>
      <c r="C15" s="11" t="n"/>
      <c r="D15" s="12">
        <f>SUMIFS(Begroting!$H$2:$H$107,Begroting!$A$2:$A$107,23)</f>
        <v/>
      </c>
      <c r="E15" s="12">
        <f>SUMIFS(Risicos!$I$2:$I$13,Risicos!$H$2:$H$13,23)</f>
        <v/>
      </c>
      <c r="F15" s="13">
        <f>ROUND(D15+E15,0)</f>
        <v/>
      </c>
      <c r="G15" s="10">
        <f>IF(F15&lt;=0,"FOUT: nul-bedrag niet toegestaan","ok")</f>
        <v/>
      </c>
    </row>
    <row r="16">
      <c r="A16" s="9" t="inlineStr">
        <is>
          <t>E24</t>
        </is>
      </c>
      <c r="B16" s="10" t="inlineStr">
        <is>
          <t>Vervangen vloerafwerking en plinten</t>
        </is>
      </c>
      <c r="C16" s="11" t="n"/>
      <c r="D16" s="12">
        <f>SUMIFS(Begroting!$H$2:$H$107,Begroting!$A$2:$A$107,24)</f>
        <v/>
      </c>
      <c r="E16" s="12">
        <f>SUMIFS(Risicos!$I$2:$I$13,Risicos!$H$2:$H$13,24)</f>
        <v/>
      </c>
      <c r="F16" s="13">
        <f>ROUND(D16+E16,0)</f>
        <v/>
      </c>
      <c r="G16" s="10">
        <f>IF(F16&lt;=0,"FOUT: nul-bedrag niet toegestaan","ok")</f>
        <v/>
      </c>
    </row>
    <row r="17">
      <c r="A17" s="9" t="inlineStr">
        <is>
          <t>E25</t>
        </is>
      </c>
      <c r="B17" s="10" t="inlineStr">
        <is>
          <t>Aanpassen binnenwanden, -kozijnen en deuren</t>
        </is>
      </c>
      <c r="C17" s="11" t="n"/>
      <c r="D17" s="12">
        <f>SUMIFS(Begroting!$H$2:$H$107,Begroting!$A$2:$A$107,25)</f>
        <v/>
      </c>
      <c r="E17" s="12">
        <f>SUMIFS(Risicos!$I$2:$I$13,Risicos!$H$2:$H$13,25)</f>
        <v/>
      </c>
      <c r="F17" s="13">
        <f>ROUND(D17+E17,0)</f>
        <v/>
      </c>
      <c r="G17" s="10">
        <f>IF(F17&lt;=0,"FOUT: nul-bedrag niet toegestaan","ok")</f>
        <v/>
      </c>
    </row>
    <row r="18">
      <c r="A18" s="9" t="inlineStr">
        <is>
          <t>E26</t>
        </is>
      </c>
      <c r="B18" s="10" t="inlineStr">
        <is>
          <t>Vervangen plafondafwerking</t>
        </is>
      </c>
      <c r="C18" s="11" t="n"/>
      <c r="D18" s="12">
        <f>SUMIFS(Begroting!$H$2:$H$107,Begroting!$A$2:$A$107,26)</f>
        <v/>
      </c>
      <c r="E18" s="12">
        <f>SUMIFS(Risicos!$I$2:$I$13,Risicos!$H$2:$H$13,26)</f>
        <v/>
      </c>
      <c r="F18" s="13">
        <f>ROUND(D18+E18,0)</f>
        <v/>
      </c>
      <c r="G18" s="10">
        <f>IF(F18&lt;=0,"FOUT: nul-bedrag niet toegestaan","ok")</f>
        <v/>
      </c>
    </row>
    <row r="19">
      <c r="A19" s="9" t="inlineStr">
        <is>
          <t>E27</t>
        </is>
      </c>
      <c r="B19" s="10" t="inlineStr">
        <is>
          <t>Aanpassen zonwering</t>
        </is>
      </c>
      <c r="C19" s="11" t="n"/>
      <c r="D19" s="12">
        <f>SUMIFS(Begroting!$H$2:$H$107,Begroting!$A$2:$A$107,27)</f>
        <v/>
      </c>
      <c r="E19" s="12">
        <f>SUMIFS(Risicos!$I$2:$I$13,Risicos!$H$2:$H$13,27)</f>
        <v/>
      </c>
      <c r="F19" s="13">
        <f>ROUND(D19+E19,0)</f>
        <v/>
      </c>
      <c r="G19" s="10">
        <f>IF(F19&lt;=0,"FOUT: nul-bedrag niet toegestaan","ok")</f>
        <v/>
      </c>
    </row>
    <row r="20">
      <c r="A20" s="9" t="inlineStr">
        <is>
          <t>E28</t>
        </is>
      </c>
      <c r="B20" s="10" t="inlineStr">
        <is>
          <t>Realiseren vaste keukenvoorzieningen en pantry's</t>
        </is>
      </c>
      <c r="C20" s="11" t="n"/>
      <c r="D20" s="12">
        <f>SUMIFS(Begroting!$H$2:$H$107,Begroting!$A$2:$A$107,28)</f>
        <v/>
      </c>
      <c r="E20" s="12">
        <f>SUMIFS(Risicos!$I$2:$I$13,Risicos!$H$2:$H$13,28)</f>
        <v/>
      </c>
      <c r="F20" s="13">
        <f>ROUND(D20+E20,0)</f>
        <v/>
      </c>
      <c r="G20" s="10">
        <f>IF(F20&lt;=0,"FOUT: nul-bedrag niet toegestaan","ok")</f>
        <v/>
      </c>
    </row>
    <row r="21">
      <c r="A21" s="9" t="inlineStr">
        <is>
          <t>E29</t>
        </is>
      </c>
      <c r="B21" s="10" t="inlineStr">
        <is>
          <t>Realiseren douchevoorzieningen</t>
        </is>
      </c>
      <c r="C21" s="11" t="n"/>
      <c r="D21" s="12">
        <f>SUMIFS(Begroting!$H$2:$H$107,Begroting!$A$2:$A$107,29)</f>
        <v/>
      </c>
      <c r="E21" s="12">
        <f>SUMIFS(Risicos!$I$2:$I$13,Risicos!$H$2:$H$13,29)</f>
        <v/>
      </c>
      <c r="F21" s="13">
        <f>ROUND(D21+E21,0)</f>
        <v/>
      </c>
      <c r="G21" s="10">
        <f>IF(F21&lt;=0,"FOUT: nul-bedrag niet toegestaan","ok")</f>
        <v/>
      </c>
    </row>
    <row r="22">
      <c r="A22" s="9" t="inlineStr">
        <is>
          <t>E30</t>
        </is>
      </c>
      <c r="B22" s="10" t="inlineStr">
        <is>
          <t>Realiseren hekwerk terrein</t>
        </is>
      </c>
      <c r="C22" s="11" t="n"/>
      <c r="D22" s="12">
        <f>SUMIFS(Begroting!$H$2:$H$107,Begroting!$A$2:$A$107,30)</f>
        <v/>
      </c>
      <c r="E22" s="12">
        <f>SUMIFS(Risicos!$I$2:$I$13,Risicos!$H$2:$H$13,30)</f>
        <v/>
      </c>
      <c r="F22" s="13">
        <f>ROUND(D22+E22,0)</f>
        <v/>
      </c>
      <c r="G22" s="10">
        <f>IF(F22&lt;=0,"FOUT: nul-bedrag niet toegestaan","ok")</f>
        <v/>
      </c>
    </row>
    <row r="23">
      <c r="A23" s="9" t="inlineStr">
        <is>
          <t>E31</t>
        </is>
      </c>
      <c r="B23" s="10" t="inlineStr">
        <is>
          <t>Realiseren entree's, incl. bijbehorende voorzieningen</t>
        </is>
      </c>
      <c r="C23" s="11" t="n"/>
      <c r="D23" s="12">
        <f>SUMIFS(Begroting!$H$2:$H$107,Begroting!$A$2:$A$107,31)</f>
        <v/>
      </c>
      <c r="E23" s="12">
        <f>SUMIFS(Risicos!$I$2:$I$13,Risicos!$H$2:$H$13,31)</f>
        <v/>
      </c>
      <c r="F23" s="13">
        <f>ROUND(D23+E23,0)</f>
        <v/>
      </c>
      <c r="G23" s="10">
        <f>IF(F23&lt;=0,"FOUT: nul-bedrag niet toegestaan","ok")</f>
        <v/>
      </c>
    </row>
    <row r="24">
      <c r="A24" s="9" t="inlineStr">
        <is>
          <t>E32</t>
        </is>
      </c>
      <c r="B24" s="10" t="inlineStr">
        <is>
          <t>Realiseren fietsenstalling</t>
        </is>
      </c>
      <c r="C24" s="11" t="n"/>
      <c r="D24" s="12">
        <f>SUMIFS(Begroting!$H$2:$H$107,Begroting!$A$2:$A$107,32)</f>
        <v/>
      </c>
      <c r="E24" s="12">
        <f>SUMIFS(Risicos!$I$2:$I$13,Risicos!$H$2:$H$13,32)</f>
        <v/>
      </c>
      <c r="F24" s="13">
        <f>ROUND(D24+E24,0)</f>
        <v/>
      </c>
      <c r="G24" s="10">
        <f>IF(F24&lt;=0,"FOUT: nul-bedrag niet toegestaan","ok")</f>
        <v/>
      </c>
    </row>
    <row r="25">
      <c r="A25" s="9" t="inlineStr">
        <is>
          <t>E33</t>
        </is>
      </c>
      <c r="B25" s="10" t="inlineStr">
        <is>
          <t>Doorvoeringen inbranden voor de installaties</t>
        </is>
      </c>
      <c r="C25" s="11" t="n"/>
      <c r="D25" s="12">
        <f>SUMIFS(Begroting!$H$2:$H$107,Begroting!$A$2:$A$107,33)</f>
        <v/>
      </c>
      <c r="E25" s="12">
        <f>SUMIFS(Risicos!$I$2:$I$13,Risicos!$H$2:$H$13,33)</f>
        <v/>
      </c>
      <c r="F25" s="13">
        <f>ROUND(D25+E25,0)</f>
        <v/>
      </c>
      <c r="G25" s="10">
        <f>IF(F25&lt;=0,"FOUT: nul-bedrag niet toegestaan","ok")</f>
        <v/>
      </c>
    </row>
    <row r="26">
      <c r="A26" s="9" t="inlineStr">
        <is>
          <t>E34</t>
        </is>
      </c>
      <c r="B26" s="10" t="inlineStr">
        <is>
          <t>Evt. andere bijkomende kosten (bouwkundig)</t>
        </is>
      </c>
      <c r="C26" s="11" t="n"/>
      <c r="D26" s="12">
        <f>SUMIFS(Begroting!$H$2:$H$107,Begroting!$A$2:$A$107,34)</f>
        <v/>
      </c>
      <c r="E26" s="12">
        <f>SUMIFS(Risicos!$I$2:$I$13,Risicos!$H$2:$H$13,34)</f>
        <v/>
      </c>
      <c r="F26" s="13">
        <f>ROUND(D26+E26,0)</f>
        <v/>
      </c>
      <c r="G26" s="10">
        <f>IF(F26&lt;=0,"FOUT: nul-bedrag niet toegestaan","ok")</f>
        <v/>
      </c>
    </row>
    <row r="27">
      <c r="A27" s="6" t="n"/>
      <c r="B27" s="7" t="inlineStr">
        <is>
          <t>Overige en bijkomende kosten</t>
        </is>
      </c>
      <c r="C27" s="6" t="n"/>
      <c r="D27" s="6" t="n"/>
      <c r="E27" s="6" t="n"/>
      <c r="F27" s="8">
        <f>F28+F29+F30+F31+F32+F33</f>
        <v/>
      </c>
      <c r="G27" s="6" t="n"/>
    </row>
    <row r="28">
      <c r="A28" s="9" t="inlineStr">
        <is>
          <t>E36</t>
        </is>
      </c>
      <c r="B28" s="10" t="inlineStr">
        <is>
          <t>Engineering en coördinatiekosten</t>
        </is>
      </c>
      <c r="C28" s="11" t="n"/>
      <c r="D28" s="12">
        <f>SUMIFS(Begroting!$H$2:$H$107,Begroting!$A$2:$A$107,36)</f>
        <v/>
      </c>
      <c r="E28" s="12">
        <f>SUMIFS(Risicos!$I$2:$I$13,Risicos!$H$2:$H$13,36)</f>
        <v/>
      </c>
      <c r="F28" s="13">
        <f>ROUND(D28+E28,0)</f>
        <v/>
      </c>
      <c r="G28" s="10">
        <f>IF(F28&lt;=0,"FOUT: nul-bedrag niet toegestaan","ok")</f>
        <v/>
      </c>
    </row>
    <row r="29">
      <c r="A29" s="9" t="inlineStr">
        <is>
          <t>E37</t>
        </is>
      </c>
      <c r="B29" s="10" t="inlineStr">
        <is>
          <t>Revisietekeningen</t>
        </is>
      </c>
      <c r="C29" s="11" t="n"/>
      <c r="D29" s="12">
        <f>SUMIFS(Begroting!$H$2:$H$107,Begroting!$A$2:$A$107,37)</f>
        <v/>
      </c>
      <c r="E29" s="12">
        <f>SUMIFS(Risicos!$I$2:$I$13,Risicos!$H$2:$H$13,37)</f>
        <v/>
      </c>
      <c r="F29" s="13">
        <f>ROUND(D29+E29,0)</f>
        <v/>
      </c>
      <c r="G29" s="10">
        <f>IF(F29&lt;=0,"FOUT: nul-bedrag niet toegestaan","ok")</f>
        <v/>
      </c>
    </row>
    <row r="30">
      <c r="A30" s="9" t="inlineStr">
        <is>
          <t>E38</t>
        </is>
      </c>
      <c r="B30" s="10" t="inlineStr">
        <is>
          <t>Algemene Bouwplaatskosten (ABK)</t>
        </is>
      </c>
      <c r="C30" s="11" t="n"/>
      <c r="D30" s="12">
        <f>SUMIFS(Begroting!$H$2:$H$107,Begroting!$A$2:$A$107,38)</f>
        <v/>
      </c>
      <c r="E30" s="12">
        <f>SUMIFS(Risicos!$I$2:$I$13,Risicos!$H$2:$H$13,38)</f>
        <v/>
      </c>
      <c r="F30" s="13">
        <f>ROUND(D30+E30,0)</f>
        <v/>
      </c>
      <c r="G30" s="10">
        <f>IF(F30&lt;=0,"FOUT: nul-bedrag niet toegestaan","ok")</f>
        <v/>
      </c>
    </row>
    <row r="31">
      <c r="A31" s="9" t="inlineStr">
        <is>
          <t>E39 / D39</t>
        </is>
      </c>
      <c r="B31" s="10" t="inlineStr">
        <is>
          <t>Algemene Kosten (AK) – % over directe kosten incl. ABK</t>
        </is>
      </c>
      <c r="C31" s="14" t="n">
        <v>0.07000000000000001</v>
      </c>
      <c r="D31" s="11" t="n"/>
      <c r="E31" s="11" t="n"/>
      <c r="F31" s="13">
        <f>ROUND(C31*(F4+F14+F28+F29+F30),0)</f>
        <v/>
      </c>
      <c r="G31" s="15">
        <f>IF(F31&lt;=0,"FOUT: nul-bedrag niet toegestaan","ok")</f>
        <v/>
      </c>
    </row>
    <row r="32">
      <c r="A32" s="9" t="inlineStr">
        <is>
          <t>E40 / D40</t>
        </is>
      </c>
      <c r="B32" s="10" t="inlineStr">
        <is>
          <t>Winst en Risico (W&amp;R) – % over directe kosten + AK</t>
        </is>
      </c>
      <c r="C32" s="14" t="n">
        <v>0.03</v>
      </c>
      <c r="D32" s="11" t="n"/>
      <c r="E32" s="11" t="n"/>
      <c r="F32" s="13">
        <f>ROUND(C32*((F4+F14+F28+F29+F30)+F31),0)</f>
        <v/>
      </c>
      <c r="G32" s="15">
        <f>IF(F32&lt;=0,"FOUT: nul-bedrag niet toegestaan","ok")</f>
        <v/>
      </c>
    </row>
    <row r="33">
      <c r="A33" s="9" t="inlineStr">
        <is>
          <t>E41 / D41</t>
        </is>
      </c>
      <c r="B33" s="10" t="inlineStr">
        <is>
          <t>CAR – % over directe kosten + AK + W&amp;R</t>
        </is>
      </c>
      <c r="C33" s="14" t="n">
        <v>0.0025</v>
      </c>
      <c r="D33" s="11" t="n"/>
      <c r="E33" s="11" t="n"/>
      <c r="F33" s="13">
        <f>ROUND(C33*((F4+F14+F28+F29+F30)+F31+F32),0)</f>
        <v/>
      </c>
      <c r="G33" s="15">
        <f>IF(F33&lt;=0,"FOUT: nul-bedrag niet toegestaan","ok")</f>
        <v/>
      </c>
    </row>
    <row r="34"/>
    <row r="35">
      <c r="B35" s="16" t="inlineStr">
        <is>
          <t>Totaal exclusief BTW (= inschrijfbedrag, cel E43 formulier)</t>
        </is>
      </c>
      <c r="F35" s="17">
        <f>F4+F14+F27</f>
        <v/>
      </c>
    </row>
    <row r="36">
      <c r="B36" s="18" t="inlineStr">
        <is>
          <t>Controle: aantal regels met nul-bedrag</t>
        </is>
      </c>
      <c r="F36" s="18">
        <f>COUNTIF(G4:G33,"FOUT*")</f>
        <v/>
      </c>
    </row>
    <row r="37"/>
    <row r="38">
      <c r="B38" s="16" t="inlineStr">
        <is>
          <t>Kengetallen ter controle</t>
        </is>
      </c>
    </row>
    <row r="39">
      <c r="B39" s="18" t="inlineStr">
        <is>
          <t>Verbouwd vloeroppervlak BG (m²) – E&amp;W 4.1.1</t>
        </is>
      </c>
      <c r="C39" s="19" t="n">
        <v>1290</v>
      </c>
    </row>
    <row r="40">
      <c r="B40" s="18" t="inlineStr">
        <is>
          <t>Aantal slaapkamers / eenheden – BBN 2.1</t>
        </is>
      </c>
      <c r="C40" s="19" t="n">
        <v>29</v>
      </c>
    </row>
    <row r="41">
      <c r="B41" s="18" t="inlineStr">
        <is>
          <t>Inschrijfbedrag per m² verbouwd</t>
        </is>
      </c>
      <c r="F41" s="20">
        <f>F35/C39</f>
        <v/>
      </c>
    </row>
    <row r="42">
      <c r="B42" s="18" t="inlineStr">
        <is>
          <t>Inschrijfbedrag per eenheid</t>
        </is>
      </c>
      <c r="F42" s="20">
        <f>F35/C40</f>
        <v/>
      </c>
    </row>
    <row r="43">
      <c r="B43" s="18" t="inlineStr">
        <is>
          <t>Aandeel installaties in directe kosten</t>
        </is>
      </c>
      <c r="F43" s="21">
        <f>F4/(F4+F14+F28+F29+F30)</f>
        <v/>
      </c>
    </row>
    <row r="44">
      <c r="B44" s="18" t="inlineStr">
        <is>
          <t>Aandeel meegeprijsde risico's in totaal</t>
        </is>
      </c>
      <c r="F44" s="21">
        <f>Risicos!I15/F35</f>
        <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10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62" customWidth="1" min="3" max="3"/>
    <col width="20" customWidth="1" min="4" max="4"/>
    <col width="7" customWidth="1" min="5" max="5"/>
    <col width="11" customWidth="1" min="6" max="6"/>
    <col width="13" customWidth="1" min="7" max="7"/>
    <col width="14" customWidth="1" min="8" max="8"/>
    <col width="22" customWidth="1" min="9" max="9"/>
    <col width="22" customWidth="1" min="10" max="10"/>
    <col width="58" customWidth="1" min="11" max="11"/>
  </cols>
  <sheetData>
    <row r="1">
      <c r="A1" s="22" t="inlineStr">
        <is>
          <t>Post</t>
        </is>
      </c>
      <c r="B1" s="22" t="inlineStr">
        <is>
          <t>Inschrijfstaat-regel</t>
        </is>
      </c>
      <c r="C1" s="22" t="inlineStr">
        <is>
          <t>Omschrijving</t>
        </is>
      </c>
      <c r="D1" s="22" t="inlineStr">
        <is>
          <t>Bron (§)</t>
        </is>
      </c>
      <c r="E1" s="22" t="inlineStr">
        <is>
          <t>Eenh.</t>
        </is>
      </c>
      <c r="F1" s="22" t="inlineStr">
        <is>
          <t>Hoeveelheid</t>
        </is>
      </c>
      <c r="G1" s="22" t="inlineStr">
        <is>
          <t>Eenheidsprijs</t>
        </is>
      </c>
      <c r="H1" s="22" t="inlineStr">
        <is>
          <t>Bedrag</t>
        </is>
      </c>
      <c r="I1" s="22" t="inlineStr">
        <is>
          <t>Uitvoering</t>
        </is>
      </c>
      <c r="J1" s="22" t="inlineStr">
        <is>
          <t>Status prijs</t>
        </is>
      </c>
      <c r="K1" s="22" t="inlineStr">
        <is>
          <t>Opmerking / aandachtspunt</t>
        </is>
      </c>
    </row>
    <row r="2">
      <c r="A2" s="23" t="n">
        <v>13</v>
      </c>
      <c r="B2" s="23" t="inlineStr">
        <is>
          <t>Ruimteverwarming en -koeling</t>
        </is>
      </c>
      <c r="C2" s="23" t="inlineStr">
        <is>
          <t>Nieuwe ventilatorconvector CIAT Major MAJ2 430, incl. 4 aftakkingen hoofdtracé, drukgecomp. regelafsluiter, afsluiters, Raminex-flex, isolatie</t>
        </is>
      </c>
      <c r="D2" s="23" t="inlineStr">
        <is>
          <t>E&amp;W 7.1/7.4.2</t>
        </is>
      </c>
      <c r="E2" s="23" t="inlineStr">
        <is>
          <t>st</t>
        </is>
      </c>
      <c r="F2" s="24" t="n">
        <v>5</v>
      </c>
      <c r="G2" s="25" t="n">
        <v>4200</v>
      </c>
      <c r="H2" s="26">
        <f>F2*G2</f>
        <v/>
      </c>
      <c r="I2" s="23" t="inlineStr">
        <is>
          <t>OA W-installateur</t>
        </is>
      </c>
      <c r="J2" s="23" t="inlineStr">
        <is>
          <t>Richtprijs</t>
        </is>
      </c>
      <c r="K2" s="23" t="inlineStr">
        <is>
          <t>Telling L.0.01-A/B: 34 fancoils nodig (29 kamers + 3 keuken 0.24 + 1 keuken 0.64 + 1 personeelsruimte 0.73); D.0.01-A/B toont 29 bestaande → 5 nieuw. Bouwgrootte: grootste aanhouden (E&amp;W 7.4.2)</t>
        </is>
      </c>
    </row>
    <row r="3">
      <c r="A3" s="23" t="n">
        <v>13</v>
      </c>
      <c r="B3" s="23" t="inlineStr">
        <is>
          <t>Ruimteverwarming en -koeling</t>
        </is>
      </c>
      <c r="C3" s="23" t="inlineStr">
        <is>
          <t>Bestaande ventilatorconvector demonteren en in zelfde ruimte terugplaatsen, incl. nieuwe regel-/inregelafsluiters</t>
        </is>
      </c>
      <c r="D3" s="23" t="inlineStr">
        <is>
          <t>E&amp;W 5.7/7.1</t>
        </is>
      </c>
      <c r="E3" s="23" t="inlineStr">
        <is>
          <t>st</t>
        </is>
      </c>
      <c r="F3" s="24" t="n">
        <v>29</v>
      </c>
      <c r="G3" s="25" t="n">
        <v>1400</v>
      </c>
      <c r="H3" s="26">
        <f>F3*G3</f>
        <v/>
      </c>
      <c r="I3" s="23" t="inlineStr">
        <is>
          <t>OA W-installateur</t>
        </is>
      </c>
      <c r="J3" s="23" t="inlineStr">
        <is>
          <t>Richtprijs</t>
        </is>
      </c>
      <c r="K3" s="23" t="inlineStr">
        <is>
          <t>29 bestaande fancoils volgens demontagetekeningen D.0.01-A (19) en D.0.01-B (10)</t>
        </is>
      </c>
    </row>
    <row r="4">
      <c r="A4" s="23" t="n">
        <v>13</v>
      </c>
      <c r="B4" s="23" t="inlineStr">
        <is>
          <t>Ruimteverwarming en -koeling</t>
        </is>
      </c>
      <c r="C4" s="23" t="inlineStr">
        <is>
          <t>Kanaalverwarmer/-koeler 4-pijps (ruimten 0.04, 0.05, 0.44, 0.45, 0.62, 0.63)</t>
        </is>
      </c>
      <c r="D4" s="23" t="inlineStr">
        <is>
          <t>E&amp;W 7.1</t>
        </is>
      </c>
      <c r="E4" s="23" t="inlineStr">
        <is>
          <t>st</t>
        </is>
      </c>
      <c r="F4" s="24" t="n">
        <v>6</v>
      </c>
      <c r="G4" s="25" t="n">
        <v>2800</v>
      </c>
      <c r="H4" s="26">
        <f>F4*G4</f>
        <v/>
      </c>
      <c r="I4" s="23" t="inlineStr">
        <is>
          <t>OA W-installateur</t>
        </is>
      </c>
      <c r="J4" s="23" t="inlineStr">
        <is>
          <t>Richtprijs</t>
        </is>
      </c>
      <c r="K4" s="23" t="inlineStr">
        <is>
          <t>7.1 noemt 6 ruimten, 7.4.2 noemt er 5 (0.63 ontbreekt) – 6 aangehouden</t>
        </is>
      </c>
    </row>
    <row r="5">
      <c r="A5" s="23" t="n">
        <v>13</v>
      </c>
      <c r="B5" s="23" t="inlineStr">
        <is>
          <t>Ruimteverwarming en -koeling</t>
        </is>
      </c>
      <c r="C5" s="23" t="inlineStr">
        <is>
          <t>Ruimtethermostaat CIAT 99DAsei incl. inbouw in brandwerende wand</t>
        </is>
      </c>
      <c r="D5" s="23" t="inlineStr">
        <is>
          <t>E&amp;W 9.2.3</t>
        </is>
      </c>
      <c r="E5" s="23" t="inlineStr">
        <is>
          <t>st</t>
        </is>
      </c>
      <c r="F5" s="24" t="n">
        <v>40</v>
      </c>
      <c r="G5" s="25" t="n">
        <v>190</v>
      </c>
      <c r="H5" s="26">
        <f>F5*G5</f>
        <v/>
      </c>
      <c r="I5" s="23" t="inlineStr">
        <is>
          <t>OA W-installateur</t>
        </is>
      </c>
      <c r="J5" s="23" t="inlineStr">
        <is>
          <t>Richtprijs</t>
        </is>
      </c>
      <c r="K5" s="23" t="inlineStr"/>
    </row>
    <row r="6">
      <c r="A6" s="23" t="n">
        <v>13</v>
      </c>
      <c r="B6" s="23" t="inlineStr">
        <is>
          <t>Ruimteverwarming en -koeling</t>
        </is>
      </c>
      <c r="C6" s="23" t="inlineStr">
        <is>
          <t>Vloerverwarming: IR-scan, revisietekening, groepen douchezones dichtzetten, PvA</t>
        </is>
      </c>
      <c r="D6" s="23" t="inlineStr">
        <is>
          <t>E&amp;W 7.3 / BBN 3.2.1</t>
        </is>
      </c>
      <c r="E6" s="23" t="inlineStr">
        <is>
          <t>post</t>
        </is>
      </c>
      <c r="F6" s="24" t="n">
        <v>1</v>
      </c>
      <c r="G6" s="25" t="n">
        <v>6500</v>
      </c>
      <c r="H6" s="26">
        <f>F6*G6</f>
        <v/>
      </c>
      <c r="I6" s="23" t="inlineStr">
        <is>
          <t>OA W-installateur</t>
        </is>
      </c>
      <c r="J6" s="23" t="inlineStr">
        <is>
          <t>Richtprijs</t>
        </is>
      </c>
      <c r="K6" s="23" t="inlineStr">
        <is>
          <t>PvA vloerverwarming is verplicht onderdeel van de aanbieding!</t>
        </is>
      </c>
    </row>
    <row r="7">
      <c r="A7" s="23" t="n">
        <v>13</v>
      </c>
      <c r="B7" s="23" t="inlineStr">
        <is>
          <t>Ruimteverwarming en -koeling</t>
        </is>
      </c>
      <c r="C7" s="23" t="inlineStr">
        <is>
          <t>Waterzijdig inregelen CV/GKW BG + rapport met debiet per bouwlaag (Delta-P)</t>
        </is>
      </c>
      <c r="D7" s="23" t="inlineStr">
        <is>
          <t>E&amp;W 4.2.2/7.5</t>
        </is>
      </c>
      <c r="E7" s="23" t="inlineStr">
        <is>
          <t>post</t>
        </is>
      </c>
      <c r="F7" s="24" t="n">
        <v>1</v>
      </c>
      <c r="G7" s="25" t="n">
        <v>7500</v>
      </c>
      <c r="H7" s="26">
        <f>F7*G7</f>
        <v/>
      </c>
      <c r="I7" s="23" t="inlineStr">
        <is>
          <t>Delta-P (voorgeschreven)</t>
        </is>
      </c>
      <c r="J7" s="23" t="inlineStr">
        <is>
          <t>Offerte aanvragen</t>
        </is>
      </c>
      <c r="K7" s="23" t="inlineStr">
        <is>
          <t>Delta-P is voorgeschreven: offerte opvragen</t>
        </is>
      </c>
    </row>
    <row r="8">
      <c r="A8" s="23" t="n">
        <v>13</v>
      </c>
      <c r="B8" s="23" t="inlineStr">
        <is>
          <t>Ruimteverwarming en -koeling</t>
        </is>
      </c>
      <c r="C8" s="23" t="inlineStr">
        <is>
          <t>Condensafvoeren ventilatorconvectoren met sifon op VWA-stelsel</t>
        </is>
      </c>
      <c r="D8" s="23" t="inlineStr">
        <is>
          <t>E&amp;W 6.1.1</t>
        </is>
      </c>
      <c r="E8" s="23" t="inlineStr">
        <is>
          <t>st</t>
        </is>
      </c>
      <c r="F8" s="24" t="n">
        <v>40</v>
      </c>
      <c r="G8" s="25" t="n">
        <v>220</v>
      </c>
      <c r="H8" s="26">
        <f>F8*G8</f>
        <v/>
      </c>
      <c r="I8" s="23" t="inlineStr">
        <is>
          <t>OA W-installateur</t>
        </is>
      </c>
      <c r="J8" s="23" t="inlineStr">
        <is>
          <t>Richtprijs</t>
        </is>
      </c>
      <c r="K8" s="23" t="inlineStr">
        <is>
          <t>34 fancoils + 6 kanaalverwarmers</t>
        </is>
      </c>
    </row>
    <row r="9">
      <c r="A9" s="23" t="n">
        <v>14</v>
      </c>
      <c r="B9" s="23" t="inlineStr">
        <is>
          <t>Warmtapwaterinstallatie</t>
        </is>
      </c>
      <c r="C9" s="23" t="inlineStr">
        <is>
          <t>Nieuwe deelring warmtapwater-circulatie BG + koudwaterstelsel boven plafond (koper, pers), afsluiters per strang, isolatie</t>
        </is>
      </c>
      <c r="D9" s="23" t="inlineStr">
        <is>
          <t>E&amp;W 6.2.4</t>
        </is>
      </c>
      <c r="E9" s="23" t="inlineStr">
        <is>
          <t>post</t>
        </is>
      </c>
      <c r="F9" s="24" t="n">
        <v>1</v>
      </c>
      <c r="G9" s="25" t="n">
        <v>19500</v>
      </c>
      <c r="H9" s="26">
        <f>F9*G9</f>
        <v/>
      </c>
      <c r="I9" s="23" t="inlineStr">
        <is>
          <t>OA W-installateur</t>
        </is>
      </c>
      <c r="J9" s="23" t="inlineStr">
        <is>
          <t>Richtprijs</t>
        </is>
      </c>
      <c r="K9" s="23" t="inlineStr">
        <is>
          <t>Aftakken vanaf schacht noord/midden/zuid; MMV-tapwaterberekening</t>
        </is>
      </c>
    </row>
    <row r="10">
      <c r="A10" s="23" t="n">
        <v>14</v>
      </c>
      <c r="B10" s="23" t="inlineStr">
        <is>
          <t>Warmtapwaterinstallatie</t>
        </is>
      </c>
      <c r="C10" s="23" t="inlineStr">
        <is>
          <t>Douche-aansluiting warm/koud incl. afvoer (0.37, 0.42, 0.70, 0.71)</t>
        </is>
      </c>
      <c r="D10" s="23" t="inlineStr">
        <is>
          <t>E&amp;W 6.1/6.2 + T.0.01</t>
        </is>
      </c>
      <c r="E10" s="23" t="inlineStr">
        <is>
          <t>st</t>
        </is>
      </c>
      <c r="F10" s="24" t="n">
        <v>10</v>
      </c>
      <c r="G10" s="25" t="n">
        <v>1500</v>
      </c>
      <c r="H10" s="26">
        <f>F10*G10</f>
        <v/>
      </c>
      <c r="I10" s="23" t="inlineStr">
        <is>
          <t>OA W-installateur</t>
        </is>
      </c>
      <c r="J10" s="23" t="inlineStr">
        <is>
          <t>Richtprijs</t>
        </is>
      </c>
      <c r="K10" s="23" t="inlineStr">
        <is>
          <t>T.0.01: 4 douches 0.42 + 4 douches 0.37 + 2 (0.70/0.71). 0.37 staat niet in de E&amp;W-tekst</t>
        </is>
      </c>
    </row>
    <row r="11">
      <c r="A11" s="23" t="n">
        <v>14</v>
      </c>
      <c r="B11" s="23" t="inlineStr">
        <is>
          <t>Warmtapwaterinstallatie</t>
        </is>
      </c>
      <c r="C11" s="23" t="inlineStr">
        <is>
          <t>Legionellapreventie De Melker M-Check per douche</t>
        </is>
      </c>
      <c r="D11" s="23" t="inlineStr">
        <is>
          <t>E&amp;W 6.2.1/9.3</t>
        </is>
      </c>
      <c r="E11" s="23" t="inlineStr">
        <is>
          <t>st</t>
        </is>
      </c>
      <c r="F11" s="24" t="n">
        <v>10</v>
      </c>
      <c r="G11" s="25" t="n">
        <v>1150</v>
      </c>
      <c r="H11" s="26">
        <f>F11*G11</f>
        <v/>
      </c>
      <c r="I11" s="23" t="inlineStr">
        <is>
          <t>OA W-installateur</t>
        </is>
      </c>
      <c r="J11" s="23" t="inlineStr">
        <is>
          <t>Offerte aanvragen</t>
        </is>
      </c>
      <c r="K11" s="23" t="inlineStr">
        <is>
          <t>Voorgeschreven fabricaat; 10 douches volgens T.0.01</t>
        </is>
      </c>
    </row>
    <row r="12">
      <c r="A12" s="23" t="n">
        <v>14</v>
      </c>
      <c r="B12" s="23" t="inlineStr">
        <is>
          <t>Warmtapwaterinstallatie</t>
        </is>
      </c>
      <c r="C12" s="23" t="inlineStr">
        <is>
          <t>M-Check centrale regelmodule / samenvoeging zones</t>
        </is>
      </c>
      <c r="D12" s="23" t="inlineStr">
        <is>
          <t>E&amp;W 9.3.3</t>
        </is>
      </c>
      <c r="E12" s="23" t="inlineStr">
        <is>
          <t>st</t>
        </is>
      </c>
      <c r="F12" s="24" t="n">
        <v>1</v>
      </c>
      <c r="G12" s="25" t="n">
        <v>2500</v>
      </c>
      <c r="H12" s="26">
        <f>F12*G12</f>
        <v/>
      </c>
      <c r="I12" s="23" t="inlineStr">
        <is>
          <t>OA W-installateur</t>
        </is>
      </c>
      <c r="J12" s="23" t="inlineStr">
        <is>
          <t>Offerte aanvragen</t>
        </is>
      </c>
      <c r="K12" s="23" t="inlineStr"/>
    </row>
    <row r="13">
      <c r="A13" s="23" t="n">
        <v>14</v>
      </c>
      <c r="B13" s="23" t="inlineStr">
        <is>
          <t>Warmtapwaterinstallatie</t>
        </is>
      </c>
      <c r="C13" s="23" t="inlineStr">
        <is>
          <t>Wastafels 0.37 en 0.42 incl. toestel en aansluiting</t>
        </is>
      </c>
      <c r="D13" s="23" t="inlineStr">
        <is>
          <t>E&amp;W 6.1/6.3 + T.0.01</t>
        </is>
      </c>
      <c r="E13" s="23" t="inlineStr">
        <is>
          <t>st</t>
        </is>
      </c>
      <c r="F13" s="24" t="n">
        <v>8</v>
      </c>
      <c r="G13" s="25" t="n">
        <v>950</v>
      </c>
      <c r="H13" s="26">
        <f>F13*G13</f>
        <v/>
      </c>
      <c r="I13" s="23" t="inlineStr">
        <is>
          <t>OA W-installateur</t>
        </is>
      </c>
      <c r="J13" s="23" t="inlineStr">
        <is>
          <t>Richtprijs</t>
        </is>
      </c>
      <c r="K13" s="23" t="inlineStr">
        <is>
          <t>T.0.01: 4 in 0.42 + 4 in 0.37</t>
        </is>
      </c>
    </row>
    <row r="14">
      <c r="A14" s="23" t="n">
        <v>14</v>
      </c>
      <c r="B14" s="23" t="inlineStr">
        <is>
          <t>Warmtapwaterinstallatie</t>
        </is>
      </c>
      <c r="C14" s="23" t="inlineStr">
        <is>
          <t>Aansluiten tappunten aanrechten 0.24 (3), 0.64 (3) en pantry 0.01 (1) (warm/koud + afvoer; 0.24 via nieuw tracé naar vetafscheider)</t>
        </is>
      </c>
      <c r="D14" s="23" t="inlineStr">
        <is>
          <t>E&amp;W 6.1.1 + T.0.01</t>
        </is>
      </c>
      <c r="E14" s="23" t="inlineStr">
        <is>
          <t>st</t>
        </is>
      </c>
      <c r="F14" s="24" t="n">
        <v>7</v>
      </c>
      <c r="G14" s="25" t="n">
        <v>950</v>
      </c>
      <c r="H14" s="26">
        <f>F14*G14</f>
        <v/>
      </c>
      <c r="I14" s="23" t="inlineStr">
        <is>
          <t>OA W-installateur</t>
        </is>
      </c>
      <c r="J14" s="23" t="inlineStr">
        <is>
          <t>Richtprijs</t>
        </is>
      </c>
      <c r="K14" s="23" t="inlineStr"/>
    </row>
    <row r="15">
      <c r="A15" s="23" t="n">
        <v>14</v>
      </c>
      <c r="B15" s="23" t="inlineStr">
        <is>
          <t>Warmtapwaterinstallatie</t>
        </is>
      </c>
      <c r="C15" s="23" t="inlineStr">
        <is>
          <t>Wasmachine-aansluitingen 0.57 incl. nieuwe afvoer (boren i.c.m. vloerverwarming)</t>
        </is>
      </c>
      <c r="D15" s="23" t="inlineStr">
        <is>
          <t>E&amp;W 6.1.1</t>
        </is>
      </c>
      <c r="E15" s="23" t="inlineStr">
        <is>
          <t>st</t>
        </is>
      </c>
      <c r="F15" s="24" t="n">
        <v>4</v>
      </c>
      <c r="G15" s="25" t="n">
        <v>1150</v>
      </c>
      <c r="H15" s="26">
        <f>F15*G15</f>
        <v/>
      </c>
      <c r="I15" s="23" t="inlineStr">
        <is>
          <t>OA W-installateur</t>
        </is>
      </c>
      <c r="J15" s="23" t="inlineStr">
        <is>
          <t>Richtprijs</t>
        </is>
      </c>
      <c r="K15" s="23" t="inlineStr">
        <is>
          <t>Aantal wasmachines uittellen</t>
        </is>
      </c>
    </row>
    <row r="16">
      <c r="A16" s="23" t="n">
        <v>14</v>
      </c>
      <c r="B16" s="23" t="inlineStr">
        <is>
          <t>Warmtapwaterinstallatie</t>
        </is>
      </c>
      <c r="C16" s="23" t="inlineStr">
        <is>
          <t>Closets 0.66/0.67 aansluiten, kinderclosets demonteren/afdoppen (0.66, 0.67, 0.70, 0.71)</t>
        </is>
      </c>
      <c r="D16" s="23" t="inlineStr">
        <is>
          <t>E&amp;W 5.4/5.5</t>
        </is>
      </c>
      <c r="E16" s="23" t="inlineStr">
        <is>
          <t>post</t>
        </is>
      </c>
      <c r="F16" s="24" t="n">
        <v>1</v>
      </c>
      <c r="G16" s="25" t="n">
        <v>3200</v>
      </c>
      <c r="H16" s="26">
        <f>F16*G16</f>
        <v/>
      </c>
      <c r="I16" s="23" t="inlineStr">
        <is>
          <t>OA W-installateur</t>
        </is>
      </c>
      <c r="J16" s="23" t="inlineStr">
        <is>
          <t>Richtprijs</t>
        </is>
      </c>
      <c r="K16" s="23" t="inlineStr"/>
    </row>
    <row r="17">
      <c r="A17" s="23" t="n">
        <v>14</v>
      </c>
      <c r="B17" s="23" t="inlineStr">
        <is>
          <t>Warmtapwaterinstallatie</t>
        </is>
      </c>
      <c r="C17" s="23" t="inlineStr">
        <is>
          <t>Uitbreiding VWA-stelsel: ca. 40 m PVC in plafond parkeergarage (R.-1.01) + ca. 12 vloerdoorboringen, Dyka Sono in plafonds, brandmanchetten</t>
        </is>
      </c>
      <c r="D17" s="23" t="inlineStr">
        <is>
          <t>E&amp;W 6.1.3 + R.-1.01/R.0.01</t>
        </is>
      </c>
      <c r="E17" s="23" t="inlineStr">
        <is>
          <t>post</t>
        </is>
      </c>
      <c r="F17" s="24" t="n">
        <v>1</v>
      </c>
      <c r="G17" s="25" t="n">
        <v>16000</v>
      </c>
      <c r="H17" s="26">
        <f>F17*G17</f>
        <v/>
      </c>
      <c r="I17" s="23" t="inlineStr">
        <is>
          <t>OA W-installateur</t>
        </is>
      </c>
      <c r="J17" s="23" t="inlineStr">
        <is>
          <t>Richtprijs</t>
        </is>
      </c>
      <c r="K17" s="23" t="inlineStr">
        <is>
          <t>R.-1.01: nieuwe leiding in kelder naar vetafscheider. Kernboringen door BG-vloer met vloerverwarming</t>
        </is>
      </c>
    </row>
    <row r="18">
      <c r="A18" s="23" t="n">
        <v>14</v>
      </c>
      <c r="B18" s="23" t="inlineStr">
        <is>
          <t>Warmtapwaterinstallatie</t>
        </is>
      </c>
      <c r="C18" s="23" t="inlineStr">
        <is>
          <t>Afpersen, spoelen, legionellabemonstering + vrijverklaring</t>
        </is>
      </c>
      <c r="D18" s="23" t="inlineStr">
        <is>
          <t>E&amp;W 6.2.5</t>
        </is>
      </c>
      <c r="E18" s="23" t="inlineStr">
        <is>
          <t>post</t>
        </is>
      </c>
      <c r="F18" s="24" t="n">
        <v>1</v>
      </c>
      <c r="G18" s="25" t="n">
        <v>1500</v>
      </c>
      <c r="H18" s="26">
        <f>F18*G18</f>
        <v/>
      </c>
      <c r="I18" s="23" t="inlineStr">
        <is>
          <t>OA W-installateur</t>
        </is>
      </c>
      <c r="J18" s="23" t="inlineStr">
        <is>
          <t>Richtprijs</t>
        </is>
      </c>
      <c r="K18" s="23" t="inlineStr"/>
    </row>
    <row r="19">
      <c r="A19" s="23" t="n">
        <v>15</v>
      </c>
      <c r="B19" s="23" t="inlineStr">
        <is>
          <t>Luchtbehandelingskast / ventilatie-installatie, incl. kanaalwerk</t>
        </is>
      </c>
      <c r="C19" s="23" t="inlineStr">
        <is>
          <t>Demontage kanalen, roosters en appendages BG conform demontagetekeningen, afplakken kanaalsysteem</t>
        </is>
      </c>
      <c r="D19" s="23" t="inlineStr">
        <is>
          <t>E&amp;W 5.8</t>
        </is>
      </c>
      <c r="E19" s="23" t="inlineStr">
        <is>
          <t>post</t>
        </is>
      </c>
      <c r="F19" s="24" t="n">
        <v>1</v>
      </c>
      <c r="G19" s="25" t="n">
        <v>6500</v>
      </c>
      <c r="H19" s="26">
        <f>F19*G19</f>
        <v/>
      </c>
      <c r="I19" s="23" t="inlineStr">
        <is>
          <t>OA W-installateur</t>
        </is>
      </c>
      <c r="J19" s="23" t="inlineStr">
        <is>
          <t>Richtprijs</t>
        </is>
      </c>
      <c r="K19" s="23" t="inlineStr"/>
    </row>
    <row r="20">
      <c r="A20" s="23" t="n">
        <v>15</v>
      </c>
      <c r="B20" s="23" t="inlineStr">
        <is>
          <t>Luchtbehandelingskast / ventilatie-installatie, incl. kanaalwerk</t>
        </is>
      </c>
      <c r="C20" s="23" t="inlineStr">
        <is>
          <t>Nieuw kanalenstelsel verzinkt klasse C vanaf schachtuittrede, per ruimte (toevoer + retour/overstroom), incl. isolatie toevoer</t>
        </is>
      </c>
      <c r="D20" s="23" t="inlineStr">
        <is>
          <t>E&amp;W 8.1/8.4.5/8.7</t>
        </is>
      </c>
      <c r="E20" s="23" t="inlineStr">
        <is>
          <t>ruimte</t>
        </is>
      </c>
      <c r="F20" s="24" t="n">
        <v>40</v>
      </c>
      <c r="G20" s="25" t="n">
        <v>1350</v>
      </c>
      <c r="H20" s="26">
        <f>F20*G20</f>
        <v/>
      </c>
      <c r="I20" s="23" t="inlineStr">
        <is>
          <t>OA W-installateur</t>
        </is>
      </c>
      <c r="J20" s="23" t="inlineStr">
        <is>
          <t>Richtprijs</t>
        </is>
      </c>
      <c r="K20" s="23" t="inlineStr">
        <is>
          <t>L.0.01-A/B: 29 kamers + keukens, personeelsruimte, gespreksruimten, badruimten</t>
        </is>
      </c>
    </row>
    <row r="21">
      <c r="A21" s="23" t="n">
        <v>15</v>
      </c>
      <c r="B21" s="23" t="inlineStr">
        <is>
          <t>Luchtbehandelingskast / ventilatie-installatie, incl. kanaalwerk</t>
        </is>
      </c>
      <c r="C21" s="23" t="inlineStr">
        <is>
          <t>Brandklep Solid Air FDC motorbediend 24V veerteruggang (toevoer + retour per kamerwand)</t>
        </is>
      </c>
      <c r="D21" s="23" t="inlineStr">
        <is>
          <t>E&amp;W 8.4.2/9.4</t>
        </is>
      </c>
      <c r="E21" s="23" t="inlineStr">
        <is>
          <t>st</t>
        </is>
      </c>
      <c r="F21" s="24" t="n">
        <v>64</v>
      </c>
      <c r="G21" s="25" t="n">
        <v>780</v>
      </c>
      <c r="H21" s="26">
        <f>F21*G21</f>
        <v/>
      </c>
      <c r="I21" s="23" t="inlineStr">
        <is>
          <t>OA W-installateur</t>
        </is>
      </c>
      <c r="J21" s="23" t="inlineStr">
        <is>
          <t>Offerte aanvragen</t>
        </is>
      </c>
      <c r="K21" s="23" t="inlineStr">
        <is>
          <t>L.0.01 + E.001: 2 per kamer (toevoer + retour) = 58, plus ca. 6 in 60-min scheidingen. Type onduidelijk: FDC25 vs FDC M24S</t>
        </is>
      </c>
    </row>
    <row r="22">
      <c r="A22" s="23" t="n">
        <v>15</v>
      </c>
      <c r="B22" s="23" t="inlineStr">
        <is>
          <t>Luchtbehandelingskast / ventilatie-installatie, incl. kanaalwerk</t>
        </is>
      </c>
      <c r="C22" s="23" t="inlineStr">
        <is>
          <t>Roosters Solid Air (CTV/CRVM/RTB/RRB) incl. ≥1 m akoestische slang en instelklep</t>
        </is>
      </c>
      <c r="D22" s="23" t="inlineStr">
        <is>
          <t>E&amp;W 8.4.3</t>
        </is>
      </c>
      <c r="E22" s="23" t="inlineStr">
        <is>
          <t>st</t>
        </is>
      </c>
      <c r="F22" s="24" t="n">
        <v>230</v>
      </c>
      <c r="G22" s="25" t="n">
        <v>175</v>
      </c>
      <c r="H22" s="26">
        <f>F22*G22</f>
        <v/>
      </c>
      <c r="I22" s="23" t="inlineStr">
        <is>
          <t>OA W-installateur</t>
        </is>
      </c>
      <c r="J22" s="23" t="inlineStr">
        <is>
          <t>Richtprijs</t>
        </is>
      </c>
      <c r="K22" s="23" t="inlineStr">
        <is>
          <t>L.0.01: per kamer 6 roosters (CTV, CRVM, 2× RTB, 2× RRB) = 174 + ca. 56 in keukens/overige ruimten</t>
        </is>
      </c>
    </row>
    <row r="23">
      <c r="A23" s="23" t="n">
        <v>15</v>
      </c>
      <c r="B23" s="23" t="inlineStr">
        <is>
          <t>Luchtbehandelingskast / ventilatie-installatie, incl. kanaalwerk</t>
        </is>
      </c>
      <c r="C23" s="23" t="inlineStr">
        <is>
          <t>Plenumafzuiging gang + geluiddempende deurroosters (2 st)</t>
        </is>
      </c>
      <c r="D23" s="23" t="inlineStr">
        <is>
          <t>E&amp;W 8.4.1</t>
        </is>
      </c>
      <c r="E23" s="23" t="inlineStr">
        <is>
          <t>post</t>
        </is>
      </c>
      <c r="F23" s="24" t="n">
        <v>1</v>
      </c>
      <c r="G23" s="25" t="n">
        <v>4500</v>
      </c>
      <c r="H23" s="26">
        <f>F23*G23</f>
        <v/>
      </c>
      <c r="I23" s="23" t="inlineStr">
        <is>
          <t>OA W-installateur</t>
        </is>
      </c>
      <c r="J23" s="23" t="inlineStr">
        <is>
          <t>Richtprijs</t>
        </is>
      </c>
      <c r="K23" s="23" t="inlineStr"/>
    </row>
    <row r="24">
      <c r="A24" s="23" t="n">
        <v>15</v>
      </c>
      <c r="B24" s="23" t="inlineStr">
        <is>
          <t>Luchtbehandelingskast / ventilatie-installatie, incl. kanaalwerk</t>
        </is>
      </c>
      <c r="C24" s="23" t="inlineStr">
        <is>
          <t>Boxventilator wasruimte 0.57 met vochtregeling en tijdklok</t>
        </is>
      </c>
      <c r="D24" s="23" t="inlineStr">
        <is>
          <t>E&amp;W 8.5</t>
        </is>
      </c>
      <c r="E24" s="23" t="inlineStr">
        <is>
          <t>st</t>
        </is>
      </c>
      <c r="F24" s="24" t="n">
        <v>1</v>
      </c>
      <c r="G24" s="25" t="n">
        <v>2600</v>
      </c>
      <c r="H24" s="26">
        <f>F24*G24</f>
        <v/>
      </c>
      <c r="I24" s="23" t="inlineStr">
        <is>
          <t>OA W-installateur</t>
        </is>
      </c>
      <c r="J24" s="23" t="inlineStr">
        <is>
          <t>Richtprijs</t>
        </is>
      </c>
      <c r="K24" s="23" t="inlineStr"/>
    </row>
    <row r="25">
      <c r="A25" s="23" t="n">
        <v>15</v>
      </c>
      <c r="B25" s="23" t="inlineStr">
        <is>
          <t>Luchtbehandelingskast / ventilatie-installatie, incl. kanaalwerk</t>
        </is>
      </c>
      <c r="C25" s="23" t="inlineStr">
        <is>
          <t>Recirculatie-afzuigkap Quattro Correto CW4090 + plasmafilter (4 st keuken 0.24, 4 st keuken 0.64)</t>
        </is>
      </c>
      <c r="D25" s="23" t="inlineStr">
        <is>
          <t>E&amp;W 8.4.6/8.4.7</t>
        </is>
      </c>
      <c r="E25" s="23" t="inlineStr">
        <is>
          <t>st</t>
        </is>
      </c>
      <c r="F25" s="24" t="n">
        <v>8</v>
      </c>
      <c r="G25" s="25" t="n">
        <v>4600</v>
      </c>
      <c r="H25" s="26">
        <f>F25*G25</f>
        <v/>
      </c>
      <c r="I25" s="23" t="inlineStr">
        <is>
          <t>Techno Horeca / OA</t>
        </is>
      </c>
      <c r="J25" s="23" t="inlineStr">
        <is>
          <t>Offerte aanvragen</t>
        </is>
      </c>
      <c r="K25" s="23" t="inlineStr">
        <is>
          <t>Offerte Techno Horeca is bijgevoegd – bedrag overnemen. E.001 toont 7 AK-aansluitpunten, E&amp;W 8 kappen; BBN 3.7.2 noemt wasemschouw + wandkappen</t>
        </is>
      </c>
    </row>
    <row r="26">
      <c r="A26" s="23" t="n">
        <v>15</v>
      </c>
      <c r="B26" s="23" t="inlineStr">
        <is>
          <t>Luchtbehandelingskast / ventilatie-installatie, incl. kanaalwerk</t>
        </is>
      </c>
      <c r="C26" s="23" t="inlineStr">
        <is>
          <t>Luchtzijdig inregelen gehele BG + één gecombineerd meetrapport (Delta-P)</t>
        </is>
      </c>
      <c r="D26" s="23" t="inlineStr">
        <is>
          <t>E&amp;W 8.6</t>
        </is>
      </c>
      <c r="E26" s="23" t="inlineStr">
        <is>
          <t>post</t>
        </is>
      </c>
      <c r="F26" s="24" t="n">
        <v>1</v>
      </c>
      <c r="G26" s="25" t="n">
        <v>5000</v>
      </c>
      <c r="H26" s="26">
        <f>F26*G26</f>
        <v/>
      </c>
      <c r="I26" s="23" t="inlineStr">
        <is>
          <t>Delta-P (voorgeschreven)</t>
        </is>
      </c>
      <c r="J26" s="23" t="inlineStr">
        <is>
          <t>Offerte aanvragen</t>
        </is>
      </c>
      <c r="K26" s="23" t="inlineStr"/>
    </row>
    <row r="27">
      <c r="A27" s="23" t="n">
        <v>16</v>
      </c>
      <c r="B27" s="23" t="inlineStr">
        <is>
          <t>Verlichtingsinstallatie</t>
        </is>
      </c>
      <c r="C27" s="23" t="inlineStr">
        <is>
          <t>Verlichtingsarmaturen LED (downlights, inleg 600x600, plafonnière + hanglamp kamers) incl. aansluiting</t>
        </is>
      </c>
      <c r="D27" s="23" t="inlineStr">
        <is>
          <t>E&amp;W 10.9</t>
        </is>
      </c>
      <c r="E27" s="23" t="inlineStr">
        <is>
          <t>st</t>
        </is>
      </c>
      <c r="F27" s="24" t="n">
        <v>215</v>
      </c>
      <c r="G27" s="25" t="n">
        <v>210</v>
      </c>
      <c r="H27" s="26">
        <f>F27*G27</f>
        <v/>
      </c>
      <c r="I27" s="23" t="inlineStr">
        <is>
          <t>OA E-installateur</t>
        </is>
      </c>
      <c r="J27" s="23" t="inlineStr">
        <is>
          <t>Richtprijs</t>
        </is>
      </c>
      <c r="K27" s="23" t="inlineStr">
        <is>
          <t>E.001: A1 60x60 (92), E1/E2 downlights (36), F (8), W (9), H hanglamp (1 per kamer); typische kamers doorgerekend naar 29</t>
        </is>
      </c>
    </row>
    <row r="28">
      <c r="A28" s="23" t="n">
        <v>16</v>
      </c>
      <c r="B28" s="23" t="inlineStr">
        <is>
          <t>Verlichtingsinstallatie</t>
        </is>
      </c>
      <c r="C28" s="23" t="inlineStr">
        <is>
          <t>Noodverlichting en vluchtwegsignalering decentraal (autonoom)</t>
        </is>
      </c>
      <c r="D28" s="23" t="inlineStr">
        <is>
          <t>E&amp;W 10.10 + E.001</t>
        </is>
      </c>
      <c r="E28" s="23" t="inlineStr">
        <is>
          <t>st</t>
        </is>
      </c>
      <c r="F28" s="24" t="n">
        <v>25</v>
      </c>
      <c r="G28" s="25" t="n">
        <v>265</v>
      </c>
      <c r="H28" s="26">
        <f>F28*G28</f>
        <v/>
      </c>
      <c r="I28" s="23" t="inlineStr">
        <is>
          <t>OA E-installateur</t>
        </is>
      </c>
      <c r="J28" s="23" t="inlineStr">
        <is>
          <t>Richtprijs</t>
        </is>
      </c>
      <c r="K28" s="23" t="inlineStr">
        <is>
          <t>E.001: 11 NV/NV1-punten getekend + pictogrammen; aantal volgt uit projectering NEN 1838</t>
        </is>
      </c>
    </row>
    <row r="29">
      <c r="A29" s="23" t="n">
        <v>16</v>
      </c>
      <c r="B29" s="23" t="inlineStr">
        <is>
          <t>Verlichtingsinstallatie</t>
        </is>
      </c>
      <c r="C29" s="23" t="inlineStr">
        <is>
          <t>Aanwezigheidsdetectie / DALI-dimmers / nachtbedrijf gangen en sanitair</t>
        </is>
      </c>
      <c r="D29" s="23" t="inlineStr">
        <is>
          <t>E&amp;W 10.11</t>
        </is>
      </c>
      <c r="E29" s="23" t="inlineStr">
        <is>
          <t>st</t>
        </is>
      </c>
      <c r="F29" s="24" t="n">
        <v>25</v>
      </c>
      <c r="G29" s="25" t="n">
        <v>160</v>
      </c>
      <c r="H29" s="26">
        <f>F29*G29</f>
        <v/>
      </c>
      <c r="I29" s="23" t="inlineStr">
        <is>
          <t>OA E-installateur</t>
        </is>
      </c>
      <c r="J29" s="23" t="inlineStr">
        <is>
          <t>Richtprijs</t>
        </is>
      </c>
      <c r="K29" s="23" t="inlineStr"/>
    </row>
    <row r="30">
      <c r="A30" s="23" t="n">
        <v>17</v>
      </c>
      <c r="B30" s="23" t="inlineStr">
        <is>
          <t>Centrale elektrotechnische voorzieningen</t>
        </is>
      </c>
      <c r="C30" s="23" t="inlineStr">
        <is>
          <t>Nieuwe verdeelinrichting keuken (LKK) incl. voedingskabel vanuit HSVI parkeergarage</t>
        </is>
      </c>
      <c r="D30" s="23" t="inlineStr">
        <is>
          <t>E&amp;W 10.6</t>
        </is>
      </c>
      <c r="E30" s="23" t="inlineStr">
        <is>
          <t>st</t>
        </is>
      </c>
      <c r="F30" s="24" t="n">
        <v>1</v>
      </c>
      <c r="G30" s="25" t="n">
        <v>9500</v>
      </c>
      <c r="H30" s="26">
        <f>F30*G30</f>
        <v/>
      </c>
      <c r="I30" s="23" t="inlineStr">
        <is>
          <t>OA E-installateur</t>
        </is>
      </c>
      <c r="J30" s="23" t="inlineStr">
        <is>
          <t>Richtprijs</t>
        </is>
      </c>
      <c r="K30" s="23" t="inlineStr">
        <is>
          <t>Kabellengte parkeergarage → keuken bepalen</t>
        </is>
      </c>
    </row>
    <row r="31">
      <c r="A31" s="23" t="n">
        <v>17</v>
      </c>
      <c r="B31" s="23" t="inlineStr">
        <is>
          <t>Centrale elektrotechnische voorzieningen</t>
        </is>
      </c>
      <c r="C31" s="23" t="inlineStr">
        <is>
          <t>Aanpassen LK0-1 en LK0-2 (groepen, 20% reserve) incl. overspanningsbeveiliging + signaleringslamp</t>
        </is>
      </c>
      <c r="D31" s="23" t="inlineStr">
        <is>
          <t>E&amp;W 10.6.1/10.8</t>
        </is>
      </c>
      <c r="E31" s="23" t="inlineStr">
        <is>
          <t>st</t>
        </is>
      </c>
      <c r="F31" s="24" t="n">
        <v>2</v>
      </c>
      <c r="G31" s="25" t="n">
        <v>3800</v>
      </c>
      <c r="H31" s="26">
        <f>F31*G31</f>
        <v/>
      </c>
      <c r="I31" s="23" t="inlineStr">
        <is>
          <t>OA E-installateur</t>
        </is>
      </c>
      <c r="J31" s="23" t="inlineStr">
        <is>
          <t>Richtprijs</t>
        </is>
      </c>
      <c r="K31" s="23" t="inlineStr"/>
    </row>
    <row r="32">
      <c r="A32" s="23" t="n">
        <v>17</v>
      </c>
      <c r="B32" s="23" t="inlineStr">
        <is>
          <t>Centrale elektrotechnische voorzieningen</t>
        </is>
      </c>
      <c r="C32" s="23" t="inlineStr">
        <is>
          <t>Wandcontactdozen / aansluitpunten incl. leidingwerk in buis</t>
        </is>
      </c>
      <c r="D32" s="23" t="inlineStr">
        <is>
          <t>E&amp;W 10.7</t>
        </is>
      </c>
      <c r="E32" s="23" t="inlineStr">
        <is>
          <t>st</t>
        </is>
      </c>
      <c r="F32" s="24" t="n">
        <v>95</v>
      </c>
      <c r="G32" s="25" t="n">
        <v>135</v>
      </c>
      <c r="H32" s="26">
        <f>F32*G32</f>
        <v/>
      </c>
      <c r="I32" s="23" t="inlineStr">
        <is>
          <t>OA E-installateur</t>
        </is>
      </c>
      <c r="J32" s="23" t="inlineStr">
        <is>
          <t>Richtprijs</t>
        </is>
      </c>
      <c r="K32" s="23" t="inlineStr">
        <is>
          <t>E.001: KK per kamer + keukens (~32), 3O per kamer (29), Alg. (14), WM (4), DR (3), overig. Let op: punten die niet op tekening staan, horen er ook bij (10.7)</t>
        </is>
      </c>
    </row>
    <row r="33">
      <c r="A33" s="23" t="n">
        <v>17</v>
      </c>
      <c r="B33" s="23" t="inlineStr">
        <is>
          <t>Centrale elektrotechnische voorzieningen</t>
        </is>
      </c>
      <c r="C33" s="23" t="inlineStr">
        <is>
          <t>Krachtaansluitingen inductiekookplaten (6 st) en afzuigkappen</t>
        </is>
      </c>
      <c r="D33" s="23" t="inlineStr">
        <is>
          <t>E&amp;W 10.7.6</t>
        </is>
      </c>
      <c r="E33" s="23" t="inlineStr">
        <is>
          <t>st</t>
        </is>
      </c>
      <c r="F33" s="24" t="n">
        <v>14</v>
      </c>
      <c r="G33" s="25" t="n">
        <v>420</v>
      </c>
      <c r="H33" s="26">
        <f>F33*G33</f>
        <v/>
      </c>
      <c r="I33" s="23" t="inlineStr">
        <is>
          <t>OA E-installateur</t>
        </is>
      </c>
      <c r="J33" s="23" t="inlineStr">
        <is>
          <t>Richtprijs</t>
        </is>
      </c>
      <c r="K33" s="23" t="inlineStr"/>
    </row>
    <row r="34">
      <c r="A34" s="23" t="n">
        <v>17</v>
      </c>
      <c r="B34" s="23" t="inlineStr">
        <is>
          <t>Centrale elektrotechnische voorzieningen</t>
        </is>
      </c>
      <c r="C34" s="23" t="inlineStr">
        <is>
          <t>Voedingen ventilatorconvectoren, brandkleppen, M-Check, boxventilator</t>
        </is>
      </c>
      <c r="D34" s="23" t="inlineStr">
        <is>
          <t>E&amp;W 9.2.1/9.4.1</t>
        </is>
      </c>
      <c r="E34" s="23" t="inlineStr">
        <is>
          <t>st</t>
        </is>
      </c>
      <c r="F34" s="24" t="n">
        <v>45</v>
      </c>
      <c r="G34" s="25" t="n">
        <v>175</v>
      </c>
      <c r="H34" s="26">
        <f>F34*G34</f>
        <v/>
      </c>
      <c r="I34" s="23" t="inlineStr">
        <is>
          <t>OA E-installateur</t>
        </is>
      </c>
      <c r="J34" s="23" t="inlineStr">
        <is>
          <t>Richtprijs</t>
        </is>
      </c>
      <c r="K34" s="23" t="inlineStr"/>
    </row>
    <row r="35">
      <c r="A35" s="23" t="n">
        <v>17</v>
      </c>
      <c r="B35" s="23" t="inlineStr">
        <is>
          <t>Centrale elektrotechnische voorzieningen</t>
        </is>
      </c>
      <c r="C35" s="23" t="inlineStr">
        <is>
          <t>Aarding en potentiaalvereffening (incl. natte ruimten)</t>
        </is>
      </c>
      <c r="D35" s="23" t="inlineStr">
        <is>
          <t>E&amp;W 10.4</t>
        </is>
      </c>
      <c r="E35" s="23" t="inlineStr">
        <is>
          <t>post</t>
        </is>
      </c>
      <c r="F35" s="24" t="n">
        <v>1</v>
      </c>
      <c r="G35" s="25" t="n">
        <v>3200</v>
      </c>
      <c r="H35" s="26">
        <f>F35*G35</f>
        <v/>
      </c>
      <c r="I35" s="23" t="inlineStr">
        <is>
          <t>OA E-installateur</t>
        </is>
      </c>
      <c r="J35" s="23" t="inlineStr">
        <is>
          <t>Richtprijs</t>
        </is>
      </c>
      <c r="K35" s="23" t="inlineStr"/>
    </row>
    <row r="36">
      <c r="A36" s="23" t="n">
        <v>17</v>
      </c>
      <c r="B36" s="23" t="inlineStr">
        <is>
          <t>Centrale elektrotechnische voorzieningen</t>
        </is>
      </c>
      <c r="C36" s="23" t="inlineStr">
        <is>
          <t>Kabelgoten / kanalisatie + 35 m nieuw wandgootdeksel</t>
        </is>
      </c>
      <c r="D36" s="23" t="inlineStr">
        <is>
          <t>E&amp;W 10.5</t>
        </is>
      </c>
      <c r="E36" s="23" t="inlineStr">
        <is>
          <t>post</t>
        </is>
      </c>
      <c r="F36" s="24" t="n">
        <v>1</v>
      </c>
      <c r="G36" s="25" t="n">
        <v>6200</v>
      </c>
      <c r="H36" s="26">
        <f>F36*G36</f>
        <v/>
      </c>
      <c r="I36" s="23" t="inlineStr">
        <is>
          <t>OA E-installateur</t>
        </is>
      </c>
      <c r="J36" s="23" t="inlineStr">
        <is>
          <t>Richtprijs</t>
        </is>
      </c>
      <c r="K36" s="23" t="inlineStr"/>
    </row>
    <row r="37">
      <c r="A37" s="23" t="n">
        <v>17</v>
      </c>
      <c r="B37" s="23" t="inlineStr">
        <is>
          <t>Centrale elektrotechnische voorzieningen</t>
        </is>
      </c>
      <c r="C37" s="23" t="inlineStr">
        <is>
          <t>NEN 3140 / NEN 1010 metingen en rapportage</t>
        </is>
      </c>
      <c r="D37" s="23" t="inlineStr">
        <is>
          <t>E&amp;W 3.9.3</t>
        </is>
      </c>
      <c r="E37" s="23" t="inlineStr">
        <is>
          <t>post</t>
        </is>
      </c>
      <c r="F37" s="24" t="n">
        <v>1</v>
      </c>
      <c r="G37" s="25" t="n">
        <v>1600</v>
      </c>
      <c r="H37" s="26">
        <f>F37*G37</f>
        <v/>
      </c>
      <c r="I37" s="23" t="inlineStr">
        <is>
          <t>OA E-installateur</t>
        </is>
      </c>
      <c r="J37" s="23" t="inlineStr">
        <is>
          <t>Richtprijs</t>
        </is>
      </c>
      <c r="K37" s="23" t="inlineStr"/>
    </row>
    <row r="38">
      <c r="A38" s="23" t="n">
        <v>18</v>
      </c>
      <c r="B38" s="23" t="inlineStr">
        <is>
          <t>Aanpassen regeltechniek</t>
        </is>
      </c>
      <c r="C38" s="23" t="inlineStr">
        <is>
          <t>Demonteren vervallen I/O-punten, GBS-datapunten en bekabeling, opschonen regelkasten (Priva ongewijzigd)</t>
        </is>
      </c>
      <c r="D38" s="23" t="inlineStr">
        <is>
          <t>E&amp;W 5.9</t>
        </is>
      </c>
      <c r="E38" s="23" t="inlineStr">
        <is>
          <t>post</t>
        </is>
      </c>
      <c r="F38" s="24" t="n">
        <v>1</v>
      </c>
      <c r="G38" s="25" t="n">
        <v>3500</v>
      </c>
      <c r="H38" s="26">
        <f>F38*G38</f>
        <v/>
      </c>
      <c r="I38" s="23" t="inlineStr">
        <is>
          <t>OA W/regeltechniek</t>
        </is>
      </c>
      <c r="J38" s="23" t="inlineStr">
        <is>
          <t>Richtprijs</t>
        </is>
      </c>
      <c r="K38" s="23" t="inlineStr">
        <is>
          <t>Geen nul-prijs: deze post heeft wel inhoud</t>
        </is>
      </c>
    </row>
    <row r="39">
      <c r="A39" s="23" t="n">
        <v>18</v>
      </c>
      <c r="B39" s="23" t="inlineStr">
        <is>
          <t>Aanpassen regeltechniek</t>
        </is>
      </c>
      <c r="C39" s="23" t="inlineStr">
        <is>
          <t>Regeltechnische documentatie (processchema's, I/O-lijsten) + instructie ≥2 uur</t>
        </is>
      </c>
      <c r="D39" s="23" t="inlineStr">
        <is>
          <t>E&amp;W 9.5</t>
        </is>
      </c>
      <c r="E39" s="23" t="inlineStr">
        <is>
          <t>post</t>
        </is>
      </c>
      <c r="F39" s="24" t="n">
        <v>1</v>
      </c>
      <c r="G39" s="25" t="n">
        <v>1800</v>
      </c>
      <c r="H39" s="26">
        <f>F39*G39</f>
        <v/>
      </c>
      <c r="I39" s="23" t="inlineStr">
        <is>
          <t>OA W/regeltechniek</t>
        </is>
      </c>
      <c r="J39" s="23" t="inlineStr">
        <is>
          <t>Richtprijs</t>
        </is>
      </c>
      <c r="K39" s="23" t="inlineStr"/>
    </row>
    <row r="40">
      <c r="A40" s="23" t="n">
        <v>19</v>
      </c>
      <c r="B40" s="23" t="inlineStr">
        <is>
          <t>Communicatievoorzieningen</t>
        </is>
      </c>
      <c r="C40" s="23" t="inlineStr">
        <is>
          <t>Data-aansluiting CAT6a LSZH incl. outlet en bekabeling</t>
        </is>
      </c>
      <c r="D40" s="23" t="inlineStr">
        <is>
          <t>E&amp;W 11.2 + E.001</t>
        </is>
      </c>
      <c r="E40" s="23" t="inlineStr">
        <is>
          <t>st</t>
        </is>
      </c>
      <c r="F40" s="24" t="n">
        <v>8</v>
      </c>
      <c r="G40" s="25" t="n">
        <v>195</v>
      </c>
      <c r="H40" s="26">
        <f>F40*G40</f>
        <v/>
      </c>
      <c r="I40" s="23" t="inlineStr">
        <is>
          <t>OA E-installateur</t>
        </is>
      </c>
      <c r="J40" s="23" t="inlineStr">
        <is>
          <t>Richtprijs</t>
        </is>
      </c>
      <c r="K40" s="23" t="inlineStr">
        <is>
          <t>E.001: 8 D-punten (kantoor, gespreksruimten, beveiliging)</t>
        </is>
      </c>
    </row>
    <row r="41">
      <c r="A41" s="23" t="n">
        <v>19</v>
      </c>
      <c r="B41" s="23" t="inlineStr">
        <is>
          <t>Communicatievoorzieningen</t>
        </is>
      </c>
      <c r="C41" s="23" t="inlineStr">
        <is>
          <t>WLAN access point-aansluiting 2-voudig met PoE</t>
        </is>
      </c>
      <c r="D41" s="23" t="inlineStr">
        <is>
          <t>E&amp;W 11.2 + E.001</t>
        </is>
      </c>
      <c r="E41" s="23" t="inlineStr">
        <is>
          <t>st</t>
        </is>
      </c>
      <c r="F41" s="24" t="n">
        <v>12</v>
      </c>
      <c r="G41" s="25" t="n">
        <v>320</v>
      </c>
      <c r="H41" s="26">
        <f>F41*G41</f>
        <v/>
      </c>
      <c r="I41" s="23" t="inlineStr">
        <is>
          <t>OA E-installateur</t>
        </is>
      </c>
      <c r="J41" s="23" t="inlineStr">
        <is>
          <t>Richtprijs</t>
        </is>
      </c>
      <c r="K41" s="23" t="inlineStr">
        <is>
          <t>E.001: 12 Wi-Fi-punten</t>
        </is>
      </c>
    </row>
    <row r="42">
      <c r="A42" s="23" t="n">
        <v>19</v>
      </c>
      <c r="B42" s="23" t="inlineStr">
        <is>
          <t>Communicatievoorzieningen</t>
        </is>
      </c>
      <c r="C42" s="23" t="inlineStr">
        <is>
          <t>Patchpanelen/rangeerpanelen in bestaand 19"-rack + aansluit- en patchsnoeren (75%)</t>
        </is>
      </c>
      <c r="D42" s="23" t="inlineStr">
        <is>
          <t>E&amp;W 11.2.1</t>
        </is>
      </c>
      <c r="E42" s="23" t="inlineStr">
        <is>
          <t>post</t>
        </is>
      </c>
      <c r="F42" s="24" t="n">
        <v>1</v>
      </c>
      <c r="G42" s="25" t="n">
        <v>2800</v>
      </c>
      <c r="H42" s="26">
        <f>F42*G42</f>
        <v/>
      </c>
      <c r="I42" s="23" t="inlineStr">
        <is>
          <t>OA E-installateur</t>
        </is>
      </c>
      <c r="J42" s="23" t="inlineStr">
        <is>
          <t>Richtprijs</t>
        </is>
      </c>
      <c r="K42" s="23" t="inlineStr"/>
    </row>
    <row r="43">
      <c r="A43" s="23" t="n">
        <v>19</v>
      </c>
      <c r="B43" s="23" t="inlineStr">
        <is>
          <t>Communicatievoorzieningen</t>
        </is>
      </c>
      <c r="C43" s="23" t="inlineStr">
        <is>
          <t>Bekabeling camera's en toegangscontrole volgens opgave Trigion</t>
        </is>
      </c>
      <c r="D43" s="23" t="inlineStr">
        <is>
          <t>E&amp;W 11.2 / bijlage 13</t>
        </is>
      </c>
      <c r="E43" s="23" t="inlineStr">
        <is>
          <t>post</t>
        </is>
      </c>
      <c r="F43" s="24" t="n">
        <v>1</v>
      </c>
      <c r="G43" s="25" t="n">
        <v>4500</v>
      </c>
      <c r="H43" s="26">
        <f>F43*G43</f>
        <v/>
      </c>
      <c r="I43" s="23" t="inlineStr">
        <is>
          <t>OA E-installateur</t>
        </is>
      </c>
      <c r="J43" s="23" t="inlineStr">
        <is>
          <t>Offerte aanvragen</t>
        </is>
      </c>
      <c r="K43" s="23" t="inlineStr">
        <is>
          <t>Opgave Trigion (bijlage) uitrekenen</t>
        </is>
      </c>
    </row>
    <row r="44">
      <c r="A44" s="23" t="n">
        <v>20</v>
      </c>
      <c r="B44" s="23" t="inlineStr">
        <is>
          <t>Toegangscontrole en beveiliging</t>
        </is>
      </c>
      <c r="C44" s="23" t="inlineStr">
        <is>
          <t>Rookmelders met NEN 2555-functionaliteit in bewonerskamers incl. sturingen</t>
        </is>
      </c>
      <c r="D44" s="23" t="inlineStr">
        <is>
          <t>E&amp;W 12.2.3</t>
        </is>
      </c>
      <c r="E44" s="23" t="inlineStr">
        <is>
          <t>st</t>
        </is>
      </c>
      <c r="F44" s="24" t="n">
        <v>29</v>
      </c>
      <c r="G44" s="25" t="n">
        <v>290</v>
      </c>
      <c r="H44" s="26">
        <f>F44*G44</f>
        <v/>
      </c>
      <c r="I44" s="23" t="inlineStr">
        <is>
          <t>Erkend branddetectiebedrijf</t>
        </is>
      </c>
      <c r="J44" s="23" t="inlineStr">
        <is>
          <t>Offerte aanvragen</t>
        </is>
      </c>
      <c r="K44" s="23" t="inlineStr"/>
    </row>
    <row r="45">
      <c r="A45" s="23" t="n">
        <v>20</v>
      </c>
      <c r="B45" s="23" t="inlineStr">
        <is>
          <t>Toegangscontrole en beveiliging</t>
        </is>
      </c>
      <c r="C45" s="23" t="inlineStr">
        <is>
          <t>Automatische melders verkeers-, gezamenlijke en risicoruimten</t>
        </is>
      </c>
      <c r="D45" s="23" t="inlineStr">
        <is>
          <t>E&amp;W 12.2.3 + E.001</t>
        </is>
      </c>
      <c r="E45" s="23" t="inlineStr">
        <is>
          <t>st</t>
        </is>
      </c>
      <c r="F45" s="24" t="n">
        <v>24</v>
      </c>
      <c r="G45" s="25" t="n">
        <v>230</v>
      </c>
      <c r="H45" s="26">
        <f>F45*G45</f>
        <v/>
      </c>
      <c r="I45" s="23" t="inlineStr">
        <is>
          <t>Erkend branddetectiebedrijf</t>
        </is>
      </c>
      <c r="J45" s="23" t="inlineStr">
        <is>
          <t>Offerte aanvragen</t>
        </is>
      </c>
      <c r="K45" s="23" t="inlineStr"/>
    </row>
    <row r="46">
      <c r="A46" s="23" t="n">
        <v>20</v>
      </c>
      <c r="B46" s="23" t="inlineStr">
        <is>
          <t>Toegangscontrole en beveiliging</t>
        </is>
      </c>
      <c r="C46" s="23" t="inlineStr">
        <is>
          <t>Handbrandmelders (4) + slow-whoops / sirenesokkels klasse B (ca. 35)</t>
        </is>
      </c>
      <c r="D46" s="23" t="inlineStr">
        <is>
          <t>E&amp;W 12.2.6/12.3 + E.001</t>
        </is>
      </c>
      <c r="E46" s="23" t="inlineStr">
        <is>
          <t>st</t>
        </is>
      </c>
      <c r="F46" s="24" t="n">
        <v>39</v>
      </c>
      <c r="G46" s="25" t="n">
        <v>245</v>
      </c>
      <c r="H46" s="26">
        <f>F46*G46</f>
        <v/>
      </c>
      <c r="I46" s="23" t="inlineStr">
        <is>
          <t>Erkend branddetectiebedrijf</t>
        </is>
      </c>
      <c r="J46" s="23" t="inlineStr">
        <is>
          <t>Offerte aanvragen</t>
        </is>
      </c>
      <c r="K46" s="23" t="inlineStr">
        <is>
          <t>E.001: HBM 4, SW/R-SW/MS-SW-combinaties ca. 35 na doorrekenen typische kamers. Extra signaalgevers niet verrekenbaar</t>
        </is>
      </c>
    </row>
    <row r="47">
      <c r="A47" s="23" t="n">
        <v>20</v>
      </c>
      <c r="B47" s="23" t="inlineStr">
        <is>
          <t>Toegangscontrole en beveiliging</t>
        </is>
      </c>
      <c r="C47" s="23" t="inlineStr">
        <is>
          <t>Uitbreiding BMC/lus-capaciteit + aanpassen OAI-zonering</t>
        </is>
      </c>
      <c r="D47" s="23" t="inlineStr">
        <is>
          <t>E&amp;W 12.2.3</t>
        </is>
      </c>
      <c r="E47" s="23" t="inlineStr">
        <is>
          <t>post</t>
        </is>
      </c>
      <c r="F47" s="24" t="n">
        <v>1</v>
      </c>
      <c r="G47" s="25" t="n">
        <v>4500</v>
      </c>
      <c r="H47" s="26">
        <f>F47*G47</f>
        <v/>
      </c>
      <c r="I47" s="23" t="inlineStr">
        <is>
          <t>Erkend branddetectiebedrijf</t>
        </is>
      </c>
      <c r="J47" s="23" t="inlineStr">
        <is>
          <t>Offerte aanvragen</t>
        </is>
      </c>
      <c r="K47" s="23" t="inlineStr">
        <is>
          <t>Capaciteit bestaande BMC onbekend – zie risico's</t>
        </is>
      </c>
    </row>
    <row r="48">
      <c r="A48" s="23" t="n">
        <v>20</v>
      </c>
      <c r="B48" s="23" t="inlineStr">
        <is>
          <t>Toegangscontrole en beveiliging</t>
        </is>
      </c>
      <c r="C48" s="23" t="inlineStr">
        <is>
          <t>PvE/Nota van Aanvulling BMI/OAI + goedkeuring brandweer, projectering</t>
        </is>
      </c>
      <c r="D48" s="23" t="inlineStr">
        <is>
          <t>E&amp;W 12.2.1</t>
        </is>
      </c>
      <c r="E48" s="23" t="inlineStr">
        <is>
          <t>post</t>
        </is>
      </c>
      <c r="F48" s="24" t="n">
        <v>1</v>
      </c>
      <c r="G48" s="25" t="n">
        <v>3500</v>
      </c>
      <c r="H48" s="26">
        <f>F48*G48</f>
        <v/>
      </c>
      <c r="I48" s="23" t="inlineStr">
        <is>
          <t>Erkend branddetectiebedrijf</t>
        </is>
      </c>
      <c r="J48" s="23" t="inlineStr">
        <is>
          <t>Offerte aanvragen</t>
        </is>
      </c>
      <c r="K48" s="23" t="inlineStr"/>
    </row>
    <row r="49">
      <c r="A49" s="23" t="n">
        <v>20</v>
      </c>
      <c r="B49" s="23" t="inlineStr">
        <is>
          <t>Toegangscontrole en beveiliging</t>
        </is>
      </c>
      <c r="C49" s="23" t="inlineStr">
        <is>
          <t>Inbedrijfstelling, rapport van oplevering, inspectie erkende instelling, eerste certificaat</t>
        </is>
      </c>
      <c r="D49" s="23" t="inlineStr">
        <is>
          <t>E&amp;W 12.2.1/12.2.2</t>
        </is>
      </c>
      <c r="E49" s="23" t="inlineStr">
        <is>
          <t>post</t>
        </is>
      </c>
      <c r="F49" s="24" t="n">
        <v>1</v>
      </c>
      <c r="G49" s="25" t="n">
        <v>4800</v>
      </c>
      <c r="H49" s="26">
        <f>F49*G49</f>
        <v/>
      </c>
      <c r="I49" s="23" t="inlineStr">
        <is>
          <t>Erkend branddetectiebedrijf</t>
        </is>
      </c>
      <c r="J49" s="23" t="inlineStr">
        <is>
          <t>Offerte aanvragen</t>
        </is>
      </c>
      <c r="K49" s="23" t="inlineStr"/>
    </row>
    <row r="50">
      <c r="A50" s="23" t="n">
        <v>20</v>
      </c>
      <c r="B50" s="23" t="inlineStr">
        <is>
          <t>Toegangscontrole en beveiliging</t>
        </is>
      </c>
      <c r="C50" s="23" t="inlineStr">
        <is>
          <t>GTV-voedingen en aansturing brandkleppen + deurvastzetters/vrijloopdrangers</t>
        </is>
      </c>
      <c r="D50" s="23" t="inlineStr">
        <is>
          <t>E&amp;W 12.2.4</t>
        </is>
      </c>
      <c r="E50" s="23" t="inlineStr">
        <is>
          <t>post</t>
        </is>
      </c>
      <c r="F50" s="24" t="n">
        <v>1</v>
      </c>
      <c r="G50" s="25" t="n">
        <v>4500</v>
      </c>
      <c r="H50" s="26">
        <f>F50*G50</f>
        <v/>
      </c>
      <c r="I50" s="23" t="inlineStr">
        <is>
          <t>Erkend branddetectiebedrijf</t>
        </is>
      </c>
      <c r="J50" s="23" t="inlineStr">
        <is>
          <t>Richtprijs</t>
        </is>
      </c>
      <c r="K50" s="23" t="inlineStr">
        <is>
          <t>Demarcatie onduidelijk (8.4.2 'door derden' vs 12.2.4 'aannemer') – hier meegeprijsd</t>
        </is>
      </c>
    </row>
    <row r="51">
      <c r="A51" s="23" t="n">
        <v>20</v>
      </c>
      <c r="B51" s="23" t="inlineStr">
        <is>
          <t>Toegangscontrole en beveiliging</t>
        </is>
      </c>
      <c r="C51" s="23" t="inlineStr">
        <is>
          <t>Alarmsignalering mindervalidentoilet</t>
        </is>
      </c>
      <c r="D51" s="23" t="inlineStr">
        <is>
          <t>E&amp;W 12.5</t>
        </is>
      </c>
      <c r="E51" s="23" t="inlineStr">
        <is>
          <t>st</t>
        </is>
      </c>
      <c r="F51" s="24" t="n">
        <v>1</v>
      </c>
      <c r="G51" s="25" t="n">
        <v>850</v>
      </c>
      <c r="H51" s="26">
        <f>F51*G51</f>
        <v/>
      </c>
      <c r="I51" s="23" t="inlineStr">
        <is>
          <t>OA E-installateur</t>
        </is>
      </c>
      <c r="J51" s="23" t="inlineStr">
        <is>
          <t>Richtprijs</t>
        </is>
      </c>
      <c r="K51" s="23" t="inlineStr"/>
    </row>
    <row r="52">
      <c r="A52" s="23" t="n">
        <v>20</v>
      </c>
      <c r="B52" s="23" t="inlineStr">
        <is>
          <t>Toegangscontrole en beveiliging</t>
        </is>
      </c>
      <c r="C52" s="23" t="inlineStr">
        <is>
          <t>Stelpost toegangscontrole tussendeur 'time-out' (Salto-tag)</t>
        </is>
      </c>
      <c r="D52" s="23" t="inlineStr">
        <is>
          <t>E&amp;W 12.4</t>
        </is>
      </c>
      <c r="E52" s="23" t="inlineStr">
        <is>
          <t>post</t>
        </is>
      </c>
      <c r="F52" s="24" t="n">
        <v>1</v>
      </c>
      <c r="G52" s="27" t="n">
        <v>2000</v>
      </c>
      <c r="H52" s="26">
        <f>F52*G52</f>
        <v/>
      </c>
      <c r="I52" s="23" t="inlineStr">
        <is>
          <t>Stelpost</t>
        </is>
      </c>
      <c r="J52" s="23" t="inlineStr">
        <is>
          <t>Stelpost (voorgeschreven)</t>
        </is>
      </c>
      <c r="K52" s="23" t="inlineStr">
        <is>
          <t>Voorgeschreven verrekenbare stelpost</t>
        </is>
      </c>
    </row>
    <row r="53">
      <c r="A53" s="23" t="n">
        <v>21</v>
      </c>
      <c r="B53" s="23" t="inlineStr">
        <is>
          <t>Evt. andere bijkomende kosten (installaties)</t>
        </is>
      </c>
      <c r="C53" s="23" t="inlineStr">
        <is>
          <t>Stelpost tijdelijke voorzieningen t.b.v. bedrijfsvoering tijdens werkzaamheden</t>
        </is>
      </c>
      <c r="D53" s="23" t="inlineStr">
        <is>
          <t>E&amp;W 5.1</t>
        </is>
      </c>
      <c r="E53" s="23" t="inlineStr">
        <is>
          <t>post</t>
        </is>
      </c>
      <c r="F53" s="24" t="n">
        <v>1</v>
      </c>
      <c r="G53" s="27" t="n">
        <v>10000</v>
      </c>
      <c r="H53" s="26">
        <f>F53*G53</f>
        <v/>
      </c>
      <c r="I53" s="23" t="inlineStr">
        <is>
          <t>Stelpost</t>
        </is>
      </c>
      <c r="J53" s="23" t="inlineStr">
        <is>
          <t>Stelpost (voorgeschreven)</t>
        </is>
      </c>
      <c r="K53" s="23" t="inlineStr">
        <is>
          <t>Voorgeschreven verrekenbare stelpost</t>
        </is>
      </c>
    </row>
    <row r="54">
      <c r="A54" s="23" t="n">
        <v>21</v>
      </c>
      <c r="B54" s="23" t="inlineStr">
        <is>
          <t>Evt. andere bijkomende kosten (installaties)</t>
        </is>
      </c>
      <c r="C54" s="23" t="inlineStr">
        <is>
          <t>Horizontaal/verticaal transport installatiedelen + hulpmiddelen</t>
        </is>
      </c>
      <c r="D54" s="23" t="inlineStr">
        <is>
          <t>E&amp;W 3.10</t>
        </is>
      </c>
      <c r="E54" s="23" t="inlineStr">
        <is>
          <t>post</t>
        </is>
      </c>
      <c r="F54" s="24" t="n">
        <v>1</v>
      </c>
      <c r="G54" s="25" t="n">
        <v>2000</v>
      </c>
      <c r="H54" s="26">
        <f>F54*G54</f>
        <v/>
      </c>
      <c r="I54" s="23" t="inlineStr">
        <is>
          <t>OA installateurs</t>
        </is>
      </c>
      <c r="J54" s="23" t="inlineStr">
        <is>
          <t>Richtprijs</t>
        </is>
      </c>
      <c r="K54" s="23" t="inlineStr"/>
    </row>
    <row r="55">
      <c r="A55" s="23" t="n">
        <v>23</v>
      </c>
      <c r="B55" s="23" t="inlineStr">
        <is>
          <t>Vervangen kozijnen, ramen en gevelpanelen/-onderdelen</t>
        </is>
      </c>
      <c r="C55" s="23" t="inlineStr">
        <is>
          <t>Opname kozijnen en ruiten, vaststellen scope</t>
        </is>
      </c>
      <c r="D55" s="23" t="inlineStr">
        <is>
          <t>BBN 3.1.3</t>
        </is>
      </c>
      <c r="E55" s="23" t="inlineStr">
        <is>
          <t>post</t>
        </is>
      </c>
      <c r="F55" s="24" t="n">
        <v>1</v>
      </c>
      <c r="G55" s="25" t="n">
        <v>750</v>
      </c>
      <c r="H55" s="26">
        <f>F55*G55</f>
        <v/>
      </c>
      <c r="I55" s="23" t="inlineStr">
        <is>
          <t>VDL</t>
        </is>
      </c>
      <c r="J55" s="23" t="inlineStr">
        <is>
          <t>Richtprijs</t>
        </is>
      </c>
      <c r="K55" s="23" t="inlineStr"/>
    </row>
    <row r="56">
      <c r="A56" s="23" t="n">
        <v>23</v>
      </c>
      <c r="B56" s="23" t="inlineStr">
        <is>
          <t>Vervangen kozijnen, ramen en gevelpanelen/-onderdelen</t>
        </is>
      </c>
      <c r="C56" s="23" t="inlineStr">
        <is>
          <t>Vervangen beschadigde ruiten ZHR++/HR++ (U≤1,1), zo nodig gelaagd/gehard, incl. glaslatten</t>
        </is>
      </c>
      <c r="D56" s="23" t="inlineStr">
        <is>
          <t>BBN 3.1.3</t>
        </is>
      </c>
      <c r="E56" s="23" t="inlineStr">
        <is>
          <t>m2</t>
        </is>
      </c>
      <c r="F56" s="24" t="n">
        <v>25</v>
      </c>
      <c r="G56" s="25" t="n">
        <v>275</v>
      </c>
      <c r="H56" s="26">
        <f>F56*G56</f>
        <v/>
      </c>
      <c r="I56" s="23" t="inlineStr">
        <is>
          <t>OA glaszetter</t>
        </is>
      </c>
      <c r="J56" s="23" t="inlineStr">
        <is>
          <t>Richtprijs</t>
        </is>
      </c>
      <c r="K56" s="23" t="inlineStr">
        <is>
          <t>Hoeveelheid onbekend – schouw! Zie risico's</t>
        </is>
      </c>
    </row>
    <row r="57">
      <c r="A57" s="23" t="n">
        <v>23</v>
      </c>
      <c r="B57" s="23" t="inlineStr">
        <is>
          <t>Vervangen kozijnen, ramen en gevelpanelen/-onderdelen</t>
        </is>
      </c>
      <c r="C57" s="23" t="inlineStr">
        <is>
          <t>Privacyfolie ruiten sanitair blok (lichtdoorlatend, waterbestendig)</t>
        </is>
      </c>
      <c r="D57" s="23" t="inlineStr">
        <is>
          <t>BBN 3.1.2</t>
        </is>
      </c>
      <c r="E57" s="23" t="inlineStr">
        <is>
          <t>m2</t>
        </is>
      </c>
      <c r="F57" s="24" t="n">
        <v>20</v>
      </c>
      <c r="G57" s="25" t="n">
        <v>75</v>
      </c>
      <c r="H57" s="26">
        <f>F57*G57</f>
        <v/>
      </c>
      <c r="I57" s="23" t="inlineStr">
        <is>
          <t>OA</t>
        </is>
      </c>
      <c r="J57" s="23" t="inlineStr">
        <is>
          <t>Richtprijs</t>
        </is>
      </c>
      <c r="K57" s="23" t="inlineStr"/>
    </row>
    <row r="58">
      <c r="A58" s="23" t="n">
        <v>23</v>
      </c>
      <c r="B58" s="23" t="inlineStr">
        <is>
          <t>Vervangen kozijnen, ramen en gevelpanelen/-onderdelen</t>
        </is>
      </c>
      <c r="C58" s="23" t="inlineStr">
        <is>
          <t>Doorgeefluik binnenzijde demonteren, sluiten, isoleren en afwerken</t>
        </is>
      </c>
      <c r="D58" s="23" t="inlineStr">
        <is>
          <t>BBN 3.1.4</t>
        </is>
      </c>
      <c r="E58" s="23" t="inlineStr">
        <is>
          <t>st</t>
        </is>
      </c>
      <c r="F58" s="24" t="n">
        <v>1</v>
      </c>
      <c r="G58" s="25" t="n">
        <v>1250</v>
      </c>
      <c r="H58" s="26">
        <f>F58*G58</f>
        <v/>
      </c>
      <c r="I58" s="23" t="inlineStr">
        <is>
          <t>VDL</t>
        </is>
      </c>
      <c r="J58" s="23" t="inlineStr">
        <is>
          <t>Richtprijs</t>
        </is>
      </c>
      <c r="K58" s="23" t="inlineStr"/>
    </row>
    <row r="59">
      <c r="A59" s="23" t="n">
        <v>24</v>
      </c>
      <c r="B59" s="23" t="inlineStr">
        <is>
          <t>Vervangen vloerafwerking en plinten</t>
        </is>
      </c>
      <c r="C59" s="23" t="inlineStr">
        <is>
          <t>Verwijderen bestaande vloerafwerking incl. lijmresten en egalisatie (excl. terrazzo gangen en toilettegels)</t>
        </is>
      </c>
      <c r="D59" s="23" t="inlineStr">
        <is>
          <t>BBN 3.2.1</t>
        </is>
      </c>
      <c r="E59" s="23" t="inlineStr">
        <is>
          <t>m2</t>
        </is>
      </c>
      <c r="F59" s="24" t="n">
        <v>1100</v>
      </c>
      <c r="G59" s="25" t="n">
        <v>12</v>
      </c>
      <c r="H59" s="26">
        <f>F59*G59</f>
        <v/>
      </c>
      <c r="I59" s="23" t="inlineStr">
        <is>
          <t>OA vloerenlegger</t>
        </is>
      </c>
      <c r="J59" s="23" t="inlineStr">
        <is>
          <t>Richtprijs</t>
        </is>
      </c>
      <c r="K59" s="23" t="inlineStr">
        <is>
          <t>m² uitmeten op bijlage 3</t>
        </is>
      </c>
    </row>
    <row r="60">
      <c r="A60" s="23" t="n">
        <v>24</v>
      </c>
      <c r="B60" s="23" t="inlineStr">
        <is>
          <t>Vervangen vloerafwerking en plinten</t>
        </is>
      </c>
      <c r="C60" s="23" t="inlineStr">
        <is>
          <t>Ondergrond herstellen en egaliseren</t>
        </is>
      </c>
      <c r="D60" s="23" t="inlineStr">
        <is>
          <t>BBN 3.2.1</t>
        </is>
      </c>
      <c r="E60" s="23" t="inlineStr">
        <is>
          <t>m2</t>
        </is>
      </c>
      <c r="F60" s="24" t="n">
        <v>1100</v>
      </c>
      <c r="G60" s="25" t="n">
        <v>15</v>
      </c>
      <c r="H60" s="26">
        <f>F60*G60</f>
        <v/>
      </c>
      <c r="I60" s="23" t="inlineStr">
        <is>
          <t>OA vloerenlegger</t>
        </is>
      </c>
      <c r="J60" s="23" t="inlineStr">
        <is>
          <t>Richtprijs</t>
        </is>
      </c>
      <c r="K60" s="23" t="inlineStr">
        <is>
          <t>Volledig aangenomen</t>
        </is>
      </c>
    </row>
    <row r="61">
      <c r="A61" s="23" t="n">
        <v>24</v>
      </c>
      <c r="B61" s="23" t="inlineStr">
        <is>
          <t>Vervangen vloerafwerking en plinten</t>
        </is>
      </c>
      <c r="C61" s="23" t="inlineStr">
        <is>
          <t>Linoleum/marmoleum (kamers, gangen, keukenzones)</t>
        </is>
      </c>
      <c r="D61" s="23" t="inlineStr">
        <is>
          <t>BBN 3.2.2/3.2.4</t>
        </is>
      </c>
      <c r="E61" s="23" t="inlineStr">
        <is>
          <t>m2</t>
        </is>
      </c>
      <c r="F61" s="24" t="n">
        <v>950</v>
      </c>
      <c r="G61" s="25" t="n">
        <v>44</v>
      </c>
      <c r="H61" s="26">
        <f>F61*G61</f>
        <v/>
      </c>
      <c r="I61" s="23" t="inlineStr">
        <is>
          <t>OA vloerenlegger</t>
        </is>
      </c>
      <c r="J61" s="23" t="inlineStr">
        <is>
          <t>Richtprijs</t>
        </is>
      </c>
      <c r="K61" s="23" t="inlineStr"/>
    </row>
    <row r="62">
      <c r="A62" s="23" t="n">
        <v>24</v>
      </c>
      <c r="B62" s="23" t="inlineStr">
        <is>
          <t>Vervangen vloerafwerking en plinten</t>
        </is>
      </c>
      <c r="C62" s="23" t="inlineStr">
        <is>
          <t>Tapijttegels zitgedeelten woonkamer</t>
        </is>
      </c>
      <c r="D62" s="23" t="inlineStr">
        <is>
          <t>BBN 3.2.4</t>
        </is>
      </c>
      <c r="E62" s="23" t="inlineStr">
        <is>
          <t>m2</t>
        </is>
      </c>
      <c r="F62" s="24" t="n">
        <v>100</v>
      </c>
      <c r="G62" s="25" t="n">
        <v>36</v>
      </c>
      <c r="H62" s="26">
        <f>F62*G62</f>
        <v/>
      </c>
      <c r="I62" s="23" t="inlineStr">
        <is>
          <t>OA vloerenlegger</t>
        </is>
      </c>
      <c r="J62" s="23" t="inlineStr">
        <is>
          <t>Richtprijs</t>
        </is>
      </c>
      <c r="K62" s="23" t="inlineStr">
        <is>
          <t>BBN 3.2.2 spreekt zichzelf tegen (linoleum/tapijttegels)</t>
        </is>
      </c>
    </row>
    <row r="63">
      <c r="A63" s="23" t="n">
        <v>24</v>
      </c>
      <c r="B63" s="23" t="inlineStr">
        <is>
          <t>Vervangen vloerafwerking en plinten</t>
        </is>
      </c>
      <c r="C63" s="23" t="inlineStr">
        <is>
          <t>Hardhouten plint 54x15 mm</t>
        </is>
      </c>
      <c r="D63" s="23" t="inlineStr">
        <is>
          <t>BBN 3.2.2</t>
        </is>
      </c>
      <c r="E63" s="23" t="inlineStr">
        <is>
          <t>m1</t>
        </is>
      </c>
      <c r="F63" s="24" t="n">
        <v>900</v>
      </c>
      <c r="G63" s="25" t="n">
        <v>14</v>
      </c>
      <c r="H63" s="26">
        <f>F63*G63</f>
        <v/>
      </c>
      <c r="I63" s="23" t="inlineStr">
        <is>
          <t>VDL</t>
        </is>
      </c>
      <c r="J63" s="23" t="inlineStr">
        <is>
          <t>Richtprijs</t>
        </is>
      </c>
      <c r="K63" s="23" t="inlineStr"/>
    </row>
    <row r="64">
      <c r="A64" s="23" t="n">
        <v>24</v>
      </c>
      <c r="B64" s="23" t="inlineStr">
        <is>
          <t>Vervangen vloerafwerking en plinten</t>
        </is>
      </c>
      <c r="C64" s="23" t="inlineStr">
        <is>
          <t>Overgangsprofielen en dorpels (natte ruimten, buitendeuren)</t>
        </is>
      </c>
      <c r="D64" s="23" t="inlineStr">
        <is>
          <t>BBN 3.2.1</t>
        </is>
      </c>
      <c r="E64" s="23" t="inlineStr">
        <is>
          <t>st</t>
        </is>
      </c>
      <c r="F64" s="24" t="n">
        <v>45</v>
      </c>
      <c r="G64" s="25" t="n">
        <v>65</v>
      </c>
      <c r="H64" s="26">
        <f>F64*G64</f>
        <v/>
      </c>
      <c r="I64" s="23" t="inlineStr">
        <is>
          <t>VDL</t>
        </is>
      </c>
      <c r="J64" s="23" t="inlineStr">
        <is>
          <t>Richtprijs</t>
        </is>
      </c>
      <c r="K64" s="23" t="inlineStr"/>
    </row>
    <row r="65">
      <c r="A65" s="23" t="n">
        <v>24</v>
      </c>
      <c r="B65" s="23" t="inlineStr">
        <is>
          <t>Vervangen vloerafwerking en plinten</t>
        </is>
      </c>
      <c r="C65" s="23" t="inlineStr">
        <is>
          <t>Herstel en reinigen tegels toiletruimten</t>
        </is>
      </c>
      <c r="D65" s="23" t="inlineStr">
        <is>
          <t>BBN 3.2.3</t>
        </is>
      </c>
      <c r="E65" s="23" t="inlineStr">
        <is>
          <t>post</t>
        </is>
      </c>
      <c r="F65" s="24" t="n">
        <v>1</v>
      </c>
      <c r="G65" s="25" t="n">
        <v>1200</v>
      </c>
      <c r="H65" s="26">
        <f>F65*G65</f>
        <v/>
      </c>
      <c r="I65" s="23" t="inlineStr">
        <is>
          <t>VDL</t>
        </is>
      </c>
      <c r="J65" s="23" t="inlineStr">
        <is>
          <t>Richtprijs</t>
        </is>
      </c>
      <c r="K65" s="23" t="inlineStr"/>
    </row>
    <row r="66">
      <c r="A66" s="23" t="n">
        <v>25</v>
      </c>
      <c r="B66" s="23" t="inlineStr">
        <is>
          <t>Aanpassen binnenwanden, -kozijnen en deuren</t>
        </is>
      </c>
      <c r="C66" s="23" t="inlineStr">
        <is>
          <t>Slopen niet-dragende binnenwanden + herstel aansluitvlakken</t>
        </is>
      </c>
      <c r="D66" s="23" t="inlineStr">
        <is>
          <t>BBN 3.3.1</t>
        </is>
      </c>
      <c r="E66" s="23" t="inlineStr">
        <is>
          <t>post</t>
        </is>
      </c>
      <c r="F66" s="24" t="n">
        <v>1</v>
      </c>
      <c r="G66" s="25" t="n">
        <v>8500</v>
      </c>
      <c r="H66" s="26">
        <f>F66*G66</f>
        <v/>
      </c>
      <c r="I66" s="23" t="inlineStr">
        <is>
          <t>VDL</t>
        </is>
      </c>
      <c r="J66" s="23" t="inlineStr">
        <is>
          <t>Richtprijs</t>
        </is>
      </c>
      <c r="K66" s="23" t="inlineStr"/>
    </row>
    <row r="67">
      <c r="A67" s="23" t="n">
        <v>25</v>
      </c>
      <c r="B67" s="23" t="inlineStr">
        <is>
          <t>Aanpassen binnenwanden, -kozijnen en deuren</t>
        </is>
      </c>
      <c r="C67" s="23" t="inlineStr">
        <is>
          <t>Glaswanden zorgvuldig demonteren, labelen, beschermd opslaan voor hergebruik</t>
        </is>
      </c>
      <c r="D67" s="23" t="inlineStr">
        <is>
          <t>BBN 3.3.2</t>
        </is>
      </c>
      <c r="E67" s="23" t="inlineStr">
        <is>
          <t>post</t>
        </is>
      </c>
      <c r="F67" s="24" t="n">
        <v>1</v>
      </c>
      <c r="G67" s="25" t="n">
        <v>4500</v>
      </c>
      <c r="H67" s="26">
        <f>F67*G67</f>
        <v/>
      </c>
      <c r="I67" s="23" t="inlineStr">
        <is>
          <t>VDL</t>
        </is>
      </c>
      <c r="J67" s="23" t="inlineStr">
        <is>
          <t>Richtprijs</t>
        </is>
      </c>
      <c r="K67" s="23" t="inlineStr">
        <is>
          <t>Herplaatsing elders valt niet expliciet in scope – vragen</t>
        </is>
      </c>
    </row>
    <row r="68">
      <c r="A68" s="23" t="n">
        <v>25</v>
      </c>
      <c r="B68" s="23" t="inlineStr">
        <is>
          <t>Aanpassen binnenwanden, -kozijnen en deuren</t>
        </is>
      </c>
      <c r="C68" s="23" t="inlineStr">
        <is>
          <t>Metal-stud wand EI30, dubbel beplaat, geïsoleerd, tot betondek, gelijmd op vloer (vloerverwarming)</t>
        </is>
      </c>
      <c r="D68" s="23" t="inlineStr">
        <is>
          <t>BBN 3.3.1/3.3.3 + NvI vraag 6</t>
        </is>
      </c>
      <c r="E68" s="23" t="inlineStr">
        <is>
          <t>m2</t>
        </is>
      </c>
      <c r="F68" s="24" t="n">
        <v>1000</v>
      </c>
      <c r="G68" s="25" t="n">
        <v>105</v>
      </c>
      <c r="H68" s="26">
        <f>F68*G68</f>
        <v/>
      </c>
      <c r="I68" s="23" t="inlineStr">
        <is>
          <t>VDL</t>
        </is>
      </c>
      <c r="J68" s="23" t="inlineStr">
        <is>
          <t>Richtprijs</t>
        </is>
      </c>
      <c r="K68" s="23" t="inlineStr">
        <is>
          <t>Afgeleid uit stramien 7,2 m op L.0.01/E.001: ca. 300 m1 nieuwe wand (kamerscheidend + gangwanden) × 3,3 m. NvI vraag 6: alle kamerscheidende wanden volledig nieuw. Hoogte tot betondek nameten</t>
        </is>
      </c>
    </row>
    <row r="69">
      <c r="A69" s="23" t="n">
        <v>25</v>
      </c>
      <c r="B69" s="23" t="inlineStr">
        <is>
          <t>Aanpassen binnenwanden, -kozijnen en deuren</t>
        </is>
      </c>
      <c r="C69" s="23" t="inlineStr">
        <is>
          <t>Toeslag verhoogde geluidsisolatie 47 dB kamers noord (0.49–0.56, 0.74–0.76)</t>
        </is>
      </c>
      <c r="D69" s="23" t="inlineStr">
        <is>
          <t>BBN 3.3.3</t>
        </is>
      </c>
      <c r="E69" s="23" t="inlineStr">
        <is>
          <t>m2</t>
        </is>
      </c>
      <c r="F69" s="24" t="n">
        <v>160</v>
      </c>
      <c r="G69" s="25" t="n">
        <v>32</v>
      </c>
      <c r="H69" s="26">
        <f>F69*G69</f>
        <v/>
      </c>
      <c r="I69" s="23" t="inlineStr">
        <is>
          <t>VDL</t>
        </is>
      </c>
      <c r="J69" s="23" t="inlineStr">
        <is>
          <t>Richtprijs</t>
        </is>
      </c>
      <c r="K69" s="23" t="inlineStr">
        <is>
          <t>Ca. 48 m1 × 3,3 m</t>
        </is>
      </c>
    </row>
    <row r="70">
      <c r="A70" s="23" t="n">
        <v>25</v>
      </c>
      <c r="B70" s="23" t="inlineStr">
        <is>
          <t>Aanpassen binnenwanden, -kozijnen en deuren</t>
        </is>
      </c>
      <c r="C70" s="23" t="inlineStr">
        <is>
          <t>Toeslag 59 dB: dubbele metal-stud frame wand 155–170 mm (kantoor/gespreksruimten 0.04, 0.05, 0.62, 0.63)</t>
        </is>
      </c>
      <c r="D70" s="23" t="inlineStr">
        <is>
          <t>BBN 3.3.2 / NvI vraag 5</t>
        </is>
      </c>
      <c r="E70" s="23" t="inlineStr">
        <is>
          <t>m2</t>
        </is>
      </c>
      <c r="F70" s="24" t="n">
        <v>60</v>
      </c>
      <c r="G70" s="25" t="n">
        <v>115</v>
      </c>
      <c r="H70" s="26">
        <f>F70*G70</f>
        <v/>
      </c>
      <c r="I70" s="23" t="inlineStr">
        <is>
          <t>VDL</t>
        </is>
      </c>
      <c r="J70" s="23" t="inlineStr">
        <is>
          <t>Richtprijs</t>
        </is>
      </c>
      <c r="K70" s="23" t="inlineStr">
        <is>
          <t>NvI vraag 5: alleen haalbaar met dubbele frames; DnT,A of Rw niet beantwoord. Ca. 18 m1 × 3,3 m</t>
        </is>
      </c>
    </row>
    <row r="71">
      <c r="A71" s="23" t="n">
        <v>25</v>
      </c>
      <c r="B71" s="23" t="inlineStr">
        <is>
          <t>Aanpassen binnenwanden, -kozijnen en deuren</t>
        </is>
      </c>
      <c r="C71" s="23" t="inlineStr">
        <is>
          <t>Scanbehang + sauswerk wanden (beide zijden)</t>
        </is>
      </c>
      <c r="D71" s="23" t="inlineStr">
        <is>
          <t>BBN 3.3.1</t>
        </is>
      </c>
      <c r="E71" s="23" t="inlineStr">
        <is>
          <t>m2</t>
        </is>
      </c>
      <c r="F71" s="24" t="n">
        <v>2000</v>
      </c>
      <c r="G71" s="25" t="n">
        <v>14</v>
      </c>
      <c r="H71" s="26">
        <f>F71*G71</f>
        <v/>
      </c>
      <c r="I71" s="23" t="inlineStr">
        <is>
          <t>OA schilder</t>
        </is>
      </c>
      <c r="J71" s="23" t="inlineStr">
        <is>
          <t>Richtprijs</t>
        </is>
      </c>
      <c r="K71" s="23" t="inlineStr"/>
    </row>
    <row r="72">
      <c r="A72" s="23" t="n">
        <v>25</v>
      </c>
      <c r="B72" s="23" t="inlineStr">
        <is>
          <t>Aanpassen binnenwanden, -kozijnen en deuren</t>
        </is>
      </c>
      <c r="C72" s="23" t="inlineStr">
        <is>
          <t>Deurstel EI30 akoestisch, 40-44 mm, insteekslot, elektrische sluitplaat (voorbereid op Trigion), vrijloopdranger</t>
        </is>
      </c>
      <c r="D72" s="23" t="inlineStr">
        <is>
          <t>BBN 3.4.2 + E.001</t>
        </is>
      </c>
      <c r="E72" s="23" t="inlineStr">
        <is>
          <t>st</t>
        </is>
      </c>
      <c r="F72" s="24" t="n">
        <v>35</v>
      </c>
      <c r="G72" s="25" t="n">
        <v>2150</v>
      </c>
      <c r="H72" s="26">
        <f>F72*G72</f>
        <v/>
      </c>
      <c r="I72" s="23" t="inlineStr">
        <is>
          <t>VDL / OA leverancier</t>
        </is>
      </c>
      <c r="J72" s="23" t="inlineStr">
        <is>
          <t>Offerte aanvragen</t>
        </is>
      </c>
      <c r="K72" s="23" t="inlineStr">
        <is>
          <t>29 kamerdeuren + 6 overig. E.001 toont VLD per kamerdeur maar maar 2 ES + 3 kaartlezers: BBN (ES per deur) aangehouden als strengste eis. Levertijd kritisch</t>
        </is>
      </c>
    </row>
    <row r="73">
      <c r="A73" s="23" t="n">
        <v>25</v>
      </c>
      <c r="B73" s="23" t="inlineStr">
        <is>
          <t>Aanpassen binnenwanden, -kozijnen en deuren</t>
        </is>
      </c>
      <c r="C73" s="23" t="inlineStr">
        <is>
          <t>Overige binnendeurstellen (techniek, berging, gemeenschappelijk)</t>
        </is>
      </c>
      <c r="D73" s="23" t="inlineStr">
        <is>
          <t>BBN 3.4.1</t>
        </is>
      </c>
      <c r="E73" s="23" t="inlineStr">
        <is>
          <t>st</t>
        </is>
      </c>
      <c r="F73" s="24" t="n">
        <v>8</v>
      </c>
      <c r="G73" s="25" t="n">
        <v>1250</v>
      </c>
      <c r="H73" s="26">
        <f>F73*G73</f>
        <v/>
      </c>
      <c r="I73" s="23" t="inlineStr">
        <is>
          <t>VDL</t>
        </is>
      </c>
      <c r="J73" s="23" t="inlineStr">
        <is>
          <t>Richtprijs</t>
        </is>
      </c>
      <c r="K73" s="23" t="inlineStr"/>
    </row>
    <row r="74">
      <c r="A74" s="23" t="n">
        <v>25</v>
      </c>
      <c r="B74" s="23" t="inlineStr">
        <is>
          <t>Aanpassen binnenwanden, -kozijnen en deuren</t>
        </is>
      </c>
      <c r="C74" s="23" t="inlineStr">
        <is>
          <t>Sluitplan / cilinders met moedersleutelsysteem</t>
        </is>
      </c>
      <c r="D74" s="23" t="inlineStr">
        <is>
          <t>BBN 3.4.1</t>
        </is>
      </c>
      <c r="E74" s="23" t="inlineStr">
        <is>
          <t>st</t>
        </is>
      </c>
      <c r="F74" s="24" t="n">
        <v>45</v>
      </c>
      <c r="G74" s="25" t="n">
        <v>110</v>
      </c>
      <c r="H74" s="26">
        <f>F74*G74</f>
        <v/>
      </c>
      <c r="I74" s="23" t="inlineStr">
        <is>
          <t>OA</t>
        </is>
      </c>
      <c r="J74" s="23" t="inlineStr">
        <is>
          <t>Richtprijs</t>
        </is>
      </c>
      <c r="K74" s="23" t="inlineStr"/>
    </row>
    <row r="75">
      <c r="A75" s="23" t="n">
        <v>25</v>
      </c>
      <c r="B75" s="23" t="inlineStr">
        <is>
          <t>Aanpassen binnenwanden, -kozijnen en deuren</t>
        </is>
      </c>
      <c r="C75" s="23" t="inlineStr">
        <is>
          <t>Kleefmagneten/openzetvoorzieningen verkeersdeuren (mechanisch deel)</t>
        </is>
      </c>
      <c r="D75" s="23" t="inlineStr">
        <is>
          <t>BBN 3.4.1</t>
        </is>
      </c>
      <c r="E75" s="23" t="inlineStr">
        <is>
          <t>st</t>
        </is>
      </c>
      <c r="F75" s="24" t="n">
        <v>10</v>
      </c>
      <c r="G75" s="25" t="n">
        <v>260</v>
      </c>
      <c r="H75" s="26">
        <f>F75*G75</f>
        <v/>
      </c>
      <c r="I75" s="23" t="inlineStr">
        <is>
          <t>VDL</t>
        </is>
      </c>
      <c r="J75" s="23" t="inlineStr">
        <is>
          <t>Richtprijs</t>
        </is>
      </c>
      <c r="K75" s="23" t="inlineStr"/>
    </row>
    <row r="76">
      <c r="A76" s="23" t="n">
        <v>26</v>
      </c>
      <c r="B76" s="23" t="inlineStr">
        <is>
          <t>Vervangen plafondafwerking</t>
        </is>
      </c>
      <c r="C76" s="23" t="inlineStr">
        <is>
          <t>Verwijderen bestaand plafond incl. constructie</t>
        </is>
      </c>
      <c r="D76" s="23" t="inlineStr">
        <is>
          <t>BBN 3.5</t>
        </is>
      </c>
      <c r="E76" s="23" t="inlineStr">
        <is>
          <t>m2</t>
        </is>
      </c>
      <c r="F76" s="24" t="n">
        <v>1250</v>
      </c>
      <c r="G76" s="25" t="n">
        <v>8</v>
      </c>
      <c r="H76" s="26">
        <f>F76*G76</f>
        <v/>
      </c>
      <c r="I76" s="23" t="inlineStr">
        <is>
          <t>OA plafondmonteur</t>
        </is>
      </c>
      <c r="J76" s="23" t="inlineStr">
        <is>
          <t>Richtprijs</t>
        </is>
      </c>
      <c r="K76" s="23" t="inlineStr"/>
    </row>
    <row r="77">
      <c r="A77" s="23" t="n">
        <v>26</v>
      </c>
      <c r="B77" s="23" t="inlineStr">
        <is>
          <t>Vervangen plafondafwerking</t>
        </is>
      </c>
      <c r="C77" s="23" t="inlineStr">
        <is>
          <t>Nieuw systeemplafond 600x600 incl. inspectieluiken en aanpassingen armaturen/roosters</t>
        </is>
      </c>
      <c r="D77" s="23" t="inlineStr">
        <is>
          <t>BBN 3.5</t>
        </is>
      </c>
      <c r="E77" s="23" t="inlineStr">
        <is>
          <t>m2</t>
        </is>
      </c>
      <c r="F77" s="24" t="n">
        <v>1200</v>
      </c>
      <c r="G77" s="25" t="n">
        <v>42</v>
      </c>
      <c r="H77" s="26">
        <f>F77*G77</f>
        <v/>
      </c>
      <c r="I77" s="23" t="inlineStr">
        <is>
          <t>OA plafondmonteur</t>
        </is>
      </c>
      <c r="J77" s="23" t="inlineStr">
        <is>
          <t>Richtprijs</t>
        </is>
      </c>
      <c r="K77" s="23" t="inlineStr"/>
    </row>
    <row r="78">
      <c r="A78" s="23" t="n">
        <v>27</v>
      </c>
      <c r="B78" s="23" t="inlineStr">
        <is>
          <t>Aanpassen zonwering</t>
        </is>
      </c>
      <c r="C78" s="23" t="inlineStr">
        <is>
          <t>Demonteren bestaande binnenzonwering</t>
        </is>
      </c>
      <c r="D78" s="23" t="inlineStr">
        <is>
          <t>BBN 3.7.1</t>
        </is>
      </c>
      <c r="E78" s="23" t="inlineStr">
        <is>
          <t>post</t>
        </is>
      </c>
      <c r="F78" s="24" t="n">
        <v>1</v>
      </c>
      <c r="G78" s="25" t="n">
        <v>1500</v>
      </c>
      <c r="H78" s="26">
        <f>F78*G78</f>
        <v/>
      </c>
      <c r="I78" s="23" t="inlineStr">
        <is>
          <t>VDL</t>
        </is>
      </c>
      <c r="J78" s="23" t="inlineStr">
        <is>
          <t>Richtprijs</t>
        </is>
      </c>
      <c r="K78" s="23" t="inlineStr">
        <is>
          <t>E&amp;W 4.1.3 zegt: pand heeft geen zonwering – navragen</t>
        </is>
      </c>
    </row>
    <row r="79">
      <c r="A79" s="23" t="n">
        <v>27</v>
      </c>
      <c r="B79" s="23" t="inlineStr">
        <is>
          <t>Aanpassen zonwering</t>
        </is>
      </c>
      <c r="C79" s="23" t="inlineStr">
        <is>
          <t>Verduisterende gordijnen incl. rails, gelijk aan verdiepingen</t>
        </is>
      </c>
      <c r="D79" s="23" t="inlineStr">
        <is>
          <t>BBN 3.7.1</t>
        </is>
      </c>
      <c r="E79" s="23" t="inlineStr">
        <is>
          <t>m1</t>
        </is>
      </c>
      <c r="F79" s="24" t="n">
        <v>150</v>
      </c>
      <c r="G79" s="25" t="n">
        <v>95</v>
      </c>
      <c r="H79" s="26">
        <f>F79*G79</f>
        <v/>
      </c>
      <c r="I79" s="23" t="inlineStr">
        <is>
          <t>OA stoffeerder</t>
        </is>
      </c>
      <c r="J79" s="23" t="inlineStr">
        <is>
          <t>Richtprijs</t>
        </is>
      </c>
      <c r="K79" s="23" t="inlineStr">
        <is>
          <t>Raamlengtes uitmeten</t>
        </is>
      </c>
    </row>
    <row r="80">
      <c r="A80" s="23" t="n">
        <v>28</v>
      </c>
      <c r="B80" s="23" t="inlineStr">
        <is>
          <t>Realiseren vaste keukenvoorzieningen en pantry's</t>
        </is>
      </c>
      <c r="C80" s="23" t="inlineStr">
        <is>
          <t>Keukenblok woonkamer (multiplex/HPL, RVS-grepen, onderkasten)</t>
        </is>
      </c>
      <c r="D80" s="23" t="inlineStr">
        <is>
          <t>BBN 3.7.2</t>
        </is>
      </c>
      <c r="E80" s="23" t="inlineStr">
        <is>
          <t>m1</t>
        </is>
      </c>
      <c r="F80" s="24" t="n">
        <v>10</v>
      </c>
      <c r="G80" s="25" t="n">
        <v>780</v>
      </c>
      <c r="H80" s="26">
        <f>F80*G80</f>
        <v/>
      </c>
      <c r="I80" s="23" t="inlineStr">
        <is>
          <t>OA keukenbouwer</t>
        </is>
      </c>
      <c r="J80" s="23" t="inlineStr">
        <is>
          <t>Richtprijs</t>
        </is>
      </c>
      <c r="K80" s="23" t="inlineStr"/>
    </row>
    <row r="81">
      <c r="A81" s="23" t="n">
        <v>28</v>
      </c>
      <c r="B81" s="23" t="inlineStr">
        <is>
          <t>Realiseren vaste keukenvoorzieningen en pantry's</t>
        </is>
      </c>
      <c r="C81" s="23" t="inlineStr">
        <is>
          <t>Keukenblok eetruimte</t>
        </is>
      </c>
      <c r="D81" s="23" t="inlineStr">
        <is>
          <t>BBN 3.7.2</t>
        </is>
      </c>
      <c r="E81" s="23" t="inlineStr">
        <is>
          <t>m1</t>
        </is>
      </c>
      <c r="F81" s="24" t="n">
        <v>7</v>
      </c>
      <c r="G81" s="25" t="n">
        <v>780</v>
      </c>
      <c r="H81" s="26">
        <f>F81*G81</f>
        <v/>
      </c>
      <c r="I81" s="23" t="inlineStr">
        <is>
          <t>OA keukenbouwer</t>
        </is>
      </c>
      <c r="J81" s="23" t="inlineStr">
        <is>
          <t>Richtprijs</t>
        </is>
      </c>
      <c r="K81" s="23" t="inlineStr"/>
    </row>
    <row r="82">
      <c r="A82" s="23" t="n">
        <v>28</v>
      </c>
      <c r="B82" s="23" t="inlineStr">
        <is>
          <t>Realiseren vaste keukenvoorzieningen en pantry's</t>
        </is>
      </c>
      <c r="C82" s="23" t="inlineStr">
        <is>
          <t>Inductiekookplaat 4-pits (4 st woonkamer, 2 st eetruimte)</t>
        </is>
      </c>
      <c r="D82" s="23" t="inlineStr">
        <is>
          <t>BBN 3.7.2</t>
        </is>
      </c>
      <c r="E82" s="23" t="inlineStr">
        <is>
          <t>st</t>
        </is>
      </c>
      <c r="F82" s="24" t="n">
        <v>6</v>
      </c>
      <c r="G82" s="25" t="n">
        <v>950</v>
      </c>
      <c r="H82" s="26">
        <f>F82*G82</f>
        <v/>
      </c>
      <c r="I82" s="23" t="inlineStr">
        <is>
          <t>OA keukenbouwer</t>
        </is>
      </c>
      <c r="J82" s="23" t="inlineStr">
        <is>
          <t>Richtprijs</t>
        </is>
      </c>
      <c r="K82" s="23" t="inlineStr">
        <is>
          <t>E&amp;W 10.7.6 zegt: keukenapparatuur door derden – navragen</t>
        </is>
      </c>
    </row>
    <row r="83">
      <c r="A83" s="23" t="n">
        <v>28</v>
      </c>
      <c r="B83" s="23" t="inlineStr">
        <is>
          <t>Realiseren vaste keukenvoorzieningen en pantry's</t>
        </is>
      </c>
      <c r="C83" s="23" t="inlineStr">
        <is>
          <t>RVS spoelbak + kraan gemeenschappelijke keukens</t>
        </is>
      </c>
      <c r="D83" s="23" t="inlineStr">
        <is>
          <t>BBN 3.7.2</t>
        </is>
      </c>
      <c r="E83" s="23" t="inlineStr">
        <is>
          <t>st</t>
        </is>
      </c>
      <c r="F83" s="24" t="n">
        <v>4</v>
      </c>
      <c r="G83" s="25" t="n">
        <v>520</v>
      </c>
      <c r="H83" s="26">
        <f>F83*G83</f>
        <v/>
      </c>
      <c r="I83" s="23" t="inlineStr">
        <is>
          <t>OA keukenbouwer</t>
        </is>
      </c>
      <c r="J83" s="23" t="inlineStr">
        <is>
          <t>Richtprijs</t>
        </is>
      </c>
      <c r="K83" s="23" t="inlineStr"/>
    </row>
    <row r="84">
      <c r="A84" s="23" t="n">
        <v>28</v>
      </c>
      <c r="B84" s="23" t="inlineStr">
        <is>
          <t>Realiseren vaste keukenvoorzieningen en pantry's</t>
        </is>
      </c>
      <c r="C84" s="23" t="inlineStr">
        <is>
          <t>Pantry slaapkamer (werkblad, onderkast, RVS spoelbak/kraan, nis koelkast, WCD)</t>
        </is>
      </c>
      <c r="D84" s="23" t="inlineStr">
        <is>
          <t>BBN 3.7.3</t>
        </is>
      </c>
      <c r="E84" s="23" t="inlineStr">
        <is>
          <t>st</t>
        </is>
      </c>
      <c r="F84" s="24" t="n">
        <v>29</v>
      </c>
      <c r="G84" s="25" t="n">
        <v>1350</v>
      </c>
      <c r="H84" s="26">
        <f>F84*G84</f>
        <v/>
      </c>
      <c r="I84" s="23" t="inlineStr">
        <is>
          <t>OA keukenbouwer</t>
        </is>
      </c>
      <c r="J84" s="23" t="inlineStr">
        <is>
          <t>Richtprijs</t>
        </is>
      </c>
      <c r="K84" s="23" t="inlineStr">
        <is>
          <t>29 kamers (kk op alle plattegronden). LET OP: T.0.01/R.0.01 tonen GEEN water/afvoer naar de kamers; BBN 3.7.3 vraagt wel RVS-spoelbak + kraan</t>
        </is>
      </c>
    </row>
    <row r="85">
      <c r="A85" s="23" t="n">
        <v>29</v>
      </c>
      <c r="B85" s="23" t="inlineStr">
        <is>
          <t>Realiseren douchevoorzieningen</t>
        </is>
      </c>
      <c r="C85" s="23" t="inlineStr">
        <is>
          <t>Metal-stud douchewanden, watervaste beplating</t>
        </is>
      </c>
      <c r="D85" s="23" t="inlineStr">
        <is>
          <t>BBN 3.3.4</t>
        </is>
      </c>
      <c r="E85" s="23" t="inlineStr">
        <is>
          <t>m2</t>
        </is>
      </c>
      <c r="F85" s="24" t="n">
        <v>80</v>
      </c>
      <c r="G85" s="25" t="n">
        <v>125</v>
      </c>
      <c r="H85" s="26">
        <f>F85*G85</f>
        <v/>
      </c>
      <c r="I85" s="23" t="inlineStr">
        <is>
          <t>VDL</t>
        </is>
      </c>
      <c r="J85" s="23" t="inlineStr">
        <is>
          <t>Richtprijs</t>
        </is>
      </c>
      <c r="K85" s="23" t="inlineStr"/>
    </row>
    <row r="86">
      <c r="A86" s="23" t="n">
        <v>29</v>
      </c>
      <c r="B86" s="23" t="inlineStr">
        <is>
          <t>Realiseren douchevoorzieningen</t>
        </is>
      </c>
      <c r="C86" s="23" t="inlineStr">
        <is>
          <t>Wandtegelwerk douches incl. afdichtingssysteem</t>
        </is>
      </c>
      <c r="D86" s="23" t="inlineStr">
        <is>
          <t>BBN 3.3.4</t>
        </is>
      </c>
      <c r="E86" s="23" t="inlineStr">
        <is>
          <t>m2</t>
        </is>
      </c>
      <c r="F86" s="24" t="n">
        <v>160</v>
      </c>
      <c r="G86" s="25" t="n">
        <v>98</v>
      </c>
      <c r="H86" s="26">
        <f>F86*G86</f>
        <v/>
      </c>
      <c r="I86" s="23" t="inlineStr">
        <is>
          <t>OA tegelzetter</t>
        </is>
      </c>
      <c r="J86" s="23" t="inlineStr">
        <is>
          <t>Richtprijs</t>
        </is>
      </c>
      <c r="K86" s="23" t="inlineStr"/>
    </row>
    <row r="87">
      <c r="A87" s="23" t="n">
        <v>29</v>
      </c>
      <c r="B87" s="23" t="inlineStr">
        <is>
          <t>Realiseren douchevoorzieningen</t>
        </is>
      </c>
      <c r="C87" s="23" t="inlineStr">
        <is>
          <t>Vloertegels douches, antislip, incl. afschot en afdichting</t>
        </is>
      </c>
      <c r="D87" s="23" t="inlineStr">
        <is>
          <t>BBN 3.2.3</t>
        </is>
      </c>
      <c r="E87" s="23" t="inlineStr">
        <is>
          <t>m2</t>
        </is>
      </c>
      <c r="F87" s="24" t="n">
        <v>45</v>
      </c>
      <c r="G87" s="25" t="n">
        <v>145</v>
      </c>
      <c r="H87" s="26">
        <f>F87*G87</f>
        <v/>
      </c>
      <c r="I87" s="23" t="inlineStr">
        <is>
          <t>OA tegelzetter</t>
        </is>
      </c>
      <c r="J87" s="23" t="inlineStr">
        <is>
          <t>Richtprijs</t>
        </is>
      </c>
      <c r="K87" s="23" t="inlineStr"/>
    </row>
    <row r="88">
      <c r="A88" s="23" t="n">
        <v>29</v>
      </c>
      <c r="B88" s="23" t="inlineStr">
        <is>
          <t>Realiseren douchevoorzieningen</t>
        </is>
      </c>
      <c r="C88" s="23" t="inlineStr">
        <is>
          <t>Trespa douchedeuren incl. beslag en profielen</t>
        </is>
      </c>
      <c r="D88" s="23" t="inlineStr">
        <is>
          <t>BBN 3.4.3</t>
        </is>
      </c>
      <c r="E88" s="23" t="inlineStr">
        <is>
          <t>st</t>
        </is>
      </c>
      <c r="F88" s="24" t="n">
        <v>8</v>
      </c>
      <c r="G88" s="25" t="n">
        <v>680</v>
      </c>
      <c r="H88" s="26">
        <f>F88*G88</f>
        <v/>
      </c>
      <c r="I88" s="23" t="inlineStr">
        <is>
          <t>VDL</t>
        </is>
      </c>
      <c r="J88" s="23" t="inlineStr">
        <is>
          <t>Richtprijs</t>
        </is>
      </c>
      <c r="K88" s="23" t="inlineStr"/>
    </row>
    <row r="89">
      <c r="A89" s="23" t="n">
        <v>30</v>
      </c>
      <c r="B89" s="23" t="inlineStr">
        <is>
          <t>Realiseren hekwerk terrein</t>
        </is>
      </c>
      <c r="C89" s="23" t="inlineStr">
        <is>
          <t>Hekwerk ≥1 m op gemetselde muur, chemische ankers, 'zwevend' boven tegels, incl. opname</t>
        </is>
      </c>
      <c r="D89" s="23" t="inlineStr">
        <is>
          <t>BBN 3.8.2</t>
        </is>
      </c>
      <c r="E89" s="23" t="inlineStr">
        <is>
          <t>m1</t>
        </is>
      </c>
      <c r="F89" s="24" t="n">
        <v>30</v>
      </c>
      <c r="G89" s="25" t="n">
        <v>225</v>
      </c>
      <c r="H89" s="26">
        <f>F89*G89</f>
        <v/>
      </c>
      <c r="I89" s="23" t="inlineStr">
        <is>
          <t>OA hekwerk</t>
        </is>
      </c>
      <c r="J89" s="23" t="inlineStr">
        <is>
          <t>Richtprijs</t>
        </is>
      </c>
      <c r="K89" s="23" t="inlineStr">
        <is>
          <t>Lengte uitmeten</t>
        </is>
      </c>
    </row>
    <row r="90">
      <c r="A90" s="23" t="n">
        <v>31</v>
      </c>
      <c r="B90" s="23" t="inlineStr">
        <is>
          <t>Realiseren entree's, incl. bijbehorende voorzieningen</t>
        </is>
      </c>
      <c r="C90" s="23" t="inlineStr">
        <is>
          <t>Drie entrees tuinzijde met hergebruik dubbele deuren</t>
        </is>
      </c>
      <c r="D90" s="23" t="inlineStr">
        <is>
          <t>BBN 3.8.1</t>
        </is>
      </c>
      <c r="E90" s="23" t="inlineStr">
        <is>
          <t>st</t>
        </is>
      </c>
      <c r="F90" s="24" t="n">
        <v>3</v>
      </c>
      <c r="G90" s="25" t="n">
        <v>1500</v>
      </c>
      <c r="H90" s="26">
        <f>F90*G90</f>
        <v/>
      </c>
      <c r="I90" s="23" t="inlineStr">
        <is>
          <t>VDL</t>
        </is>
      </c>
      <c r="J90" s="23" t="inlineStr">
        <is>
          <t>Richtprijs</t>
        </is>
      </c>
      <c r="K90" s="23" t="inlineStr"/>
    </row>
    <row r="91">
      <c r="A91" s="23" t="n">
        <v>31</v>
      </c>
      <c r="B91" s="23" t="inlineStr">
        <is>
          <t>Realiseren entree's, incl. bijbehorende voorzieningen</t>
        </is>
      </c>
      <c r="C91" s="23" t="inlineStr">
        <is>
          <t>Betontegels 1x2x0,1 m als opstap + toegankelijke helling binnen ≤3 m</t>
        </is>
      </c>
      <c r="D91" s="23" t="inlineStr">
        <is>
          <t>BBN 3.8.1</t>
        </is>
      </c>
      <c r="E91" s="23" t="inlineStr">
        <is>
          <t>post</t>
        </is>
      </c>
      <c r="F91" s="24" t="n">
        <v>1</v>
      </c>
      <c r="G91" s="25" t="n">
        <v>4300</v>
      </c>
      <c r="H91" s="26">
        <f>F91*G91</f>
        <v/>
      </c>
      <c r="I91" s="23" t="inlineStr">
        <is>
          <t>VDL</t>
        </is>
      </c>
      <c r="J91" s="23" t="inlineStr">
        <is>
          <t>Richtprijs</t>
        </is>
      </c>
      <c r="K91" s="23" t="inlineStr"/>
    </row>
    <row r="92">
      <c r="A92" s="23" t="n">
        <v>32</v>
      </c>
      <c r="B92" s="23" t="inlineStr">
        <is>
          <t>Realiseren fietsenstalling</t>
        </is>
      </c>
      <c r="C92" s="23" t="inlineStr">
        <is>
          <t>Beloopbare vloerroosters Dejo o.g. over ventilatiekuil, incl. onderconstructie, thermisch verzinkt, demontabel</t>
        </is>
      </c>
      <c r="D92" s="23" t="inlineStr">
        <is>
          <t>BBN 3.8.3</t>
        </is>
      </c>
      <c r="E92" s="23" t="inlineStr">
        <is>
          <t>m2</t>
        </is>
      </c>
      <c r="F92" s="24" t="n">
        <v>25</v>
      </c>
      <c r="G92" s="25" t="n">
        <v>460</v>
      </c>
      <c r="H92" s="26">
        <f>F92*G92</f>
        <v/>
      </c>
      <c r="I92" s="23" t="inlineStr">
        <is>
          <t>OA staalbouw</t>
        </is>
      </c>
      <c r="J92" s="23" t="inlineStr">
        <is>
          <t>Richtprijs</t>
        </is>
      </c>
      <c r="K92" s="23" t="inlineStr">
        <is>
          <t>m² uitmeten; fietsenrekken niet genoemd</t>
        </is>
      </c>
    </row>
    <row r="93">
      <c r="A93" s="23" t="n">
        <v>32</v>
      </c>
      <c r="B93" s="23" t="inlineStr">
        <is>
          <t>Realiseren fietsenstalling</t>
        </is>
      </c>
      <c r="C93" s="23" t="inlineStr">
        <is>
          <t>Constructieve berekening roosters/oplegging</t>
        </is>
      </c>
      <c r="D93" s="23" t="inlineStr">
        <is>
          <t>BBN 3.8.3</t>
        </is>
      </c>
      <c r="E93" s="23" t="inlineStr">
        <is>
          <t>post</t>
        </is>
      </c>
      <c r="F93" s="24" t="n">
        <v>1</v>
      </c>
      <c r="G93" s="25" t="n">
        <v>1500</v>
      </c>
      <c r="H93" s="26">
        <f>F93*G93</f>
        <v/>
      </c>
      <c r="I93" s="23" t="inlineStr">
        <is>
          <t>Constructeur</t>
        </is>
      </c>
      <c r="J93" s="23" t="inlineStr">
        <is>
          <t>Richtprijs</t>
        </is>
      </c>
      <c r="K93" s="23" t="inlineStr"/>
    </row>
    <row r="94">
      <c r="A94" s="23" t="n">
        <v>33</v>
      </c>
      <c r="B94" s="23" t="inlineStr">
        <is>
          <t>Doorvoeringen inbranden voor de installaties</t>
        </is>
      </c>
      <c r="C94" s="23" t="inlineStr">
        <is>
          <t>Brandwerende doorvoeringen (W/E/data) incl. codering en logboek conform bovenverdiepingen (VMT Zwolle)</t>
        </is>
      </c>
      <c r="D94" s="23" t="inlineStr">
        <is>
          <t>BBN 3.3.1 / E&amp;W 4.6/10.5.7</t>
        </is>
      </c>
      <c r="E94" s="23" t="inlineStr">
        <is>
          <t>st</t>
        </is>
      </c>
      <c r="F94" s="24" t="n">
        <v>260</v>
      </c>
      <c r="G94" s="25" t="n">
        <v>48</v>
      </c>
      <c r="H94" s="26">
        <f>F94*G94</f>
        <v/>
      </c>
      <c r="I94" s="23" t="inlineStr">
        <is>
          <t>VMT Brandpreventie</t>
        </is>
      </c>
      <c r="J94" s="23" t="inlineStr">
        <is>
          <t>Offerte aanvragen</t>
        </is>
      </c>
      <c r="K94" s="23" t="inlineStr">
        <is>
          <t>VMT is 'voorgesteld' – offerte opvragen; aantal inschatten met installateurs</t>
        </is>
      </c>
    </row>
    <row r="95">
      <c r="A95" s="23" t="n">
        <v>34</v>
      </c>
      <c r="B95" s="23" t="inlineStr">
        <is>
          <t>Evt. andere bijkomende kosten (bouwkundig)</t>
        </is>
      </c>
      <c r="C95" s="23" t="inlineStr">
        <is>
          <t>Bescherming bestaande bouw (vloeren, lift, looproutes), nulmeting met foto's</t>
        </is>
      </c>
      <c r="D95" s="23" t="inlineStr">
        <is>
          <t>BBN 6.1</t>
        </is>
      </c>
      <c r="E95" s="23" t="inlineStr">
        <is>
          <t>post</t>
        </is>
      </c>
      <c r="F95" s="24" t="n">
        <v>1</v>
      </c>
      <c r="G95" s="25" t="n">
        <v>5000</v>
      </c>
      <c r="H95" s="26">
        <f>F95*G95</f>
        <v/>
      </c>
      <c r="I95" s="23" t="inlineStr">
        <is>
          <t>VDL</t>
        </is>
      </c>
      <c r="J95" s="23" t="inlineStr">
        <is>
          <t>Richtprijs</t>
        </is>
      </c>
      <c r="K95" s="23" t="inlineStr"/>
    </row>
    <row r="96">
      <c r="A96" s="23" t="n">
        <v>34</v>
      </c>
      <c r="B96" s="23" t="inlineStr">
        <is>
          <t>Evt. andere bijkomende kosten (bouwkundig)</t>
        </is>
      </c>
      <c r="C96" s="23" t="inlineStr">
        <is>
          <t>Opleveringsschoonmaak</t>
        </is>
      </c>
      <c r="D96" s="23" t="inlineStr">
        <is>
          <t>BBN 6.2</t>
        </is>
      </c>
      <c r="E96" s="23" t="inlineStr">
        <is>
          <t>post</t>
        </is>
      </c>
      <c r="F96" s="24" t="n">
        <v>1</v>
      </c>
      <c r="G96" s="25" t="n">
        <v>3500</v>
      </c>
      <c r="H96" s="26">
        <f>F96*G96</f>
        <v/>
      </c>
      <c r="I96" s="23" t="inlineStr">
        <is>
          <t>OA schoonmaak</t>
        </is>
      </c>
      <c r="J96" s="23" t="inlineStr">
        <is>
          <t>Richtprijs</t>
        </is>
      </c>
      <c r="K96" s="23" t="inlineStr"/>
    </row>
    <row r="97">
      <c r="A97" s="23" t="n">
        <v>36</v>
      </c>
      <c r="B97" s="23" t="inlineStr">
        <is>
          <t>Engineering en coördinatiekosten</t>
        </is>
      </c>
      <c r="C97" s="23" t="inlineStr">
        <is>
          <t>Bouwkundige engineering, detaillering, constructeur</t>
        </is>
      </c>
      <c r="D97" s="23" t="inlineStr">
        <is>
          <t>BBN 4.1</t>
        </is>
      </c>
      <c r="E97" s="23" t="inlineStr">
        <is>
          <t>post</t>
        </is>
      </c>
      <c r="F97" s="24" t="n">
        <v>1</v>
      </c>
      <c r="G97" s="25" t="n">
        <v>12000</v>
      </c>
      <c r="H97" s="26">
        <f>F97*G97</f>
        <v/>
      </c>
      <c r="I97" s="23" t="inlineStr">
        <is>
          <t>VDL / adviseur</t>
        </is>
      </c>
      <c r="J97" s="23" t="inlineStr">
        <is>
          <t>Richtprijs</t>
        </is>
      </c>
      <c r="K97" s="23" t="inlineStr"/>
    </row>
    <row r="98">
      <c r="A98" s="23" t="n">
        <v>36</v>
      </c>
      <c r="B98" s="23" t="inlineStr">
        <is>
          <t>Engineering en coördinatiekosten</t>
        </is>
      </c>
      <c r="C98" s="23" t="inlineStr">
        <is>
          <t>Installatie-engineering: werktekeningen, VABI, tapwater-, licht-, kabelberekeningen</t>
        </is>
      </c>
      <c r="D98" s="23" t="inlineStr">
        <is>
          <t>E&amp;W 3.7/3.9</t>
        </is>
      </c>
      <c r="E98" s="23" t="inlineStr">
        <is>
          <t>post</t>
        </is>
      </c>
      <c r="F98" s="24" t="n">
        <v>1</v>
      </c>
      <c r="G98" s="25" t="n">
        <v>18000</v>
      </c>
      <c r="H98" s="26">
        <f>F98*G98</f>
        <v/>
      </c>
      <c r="I98" s="23" t="inlineStr">
        <is>
          <t>OA installateurs</t>
        </is>
      </c>
      <c r="J98" s="23" t="inlineStr">
        <is>
          <t>Richtprijs</t>
        </is>
      </c>
      <c r="K98" s="23" t="inlineStr">
        <is>
          <t>Reken op 5 weken review-cyclus met Winkelman</t>
        </is>
      </c>
    </row>
    <row r="99">
      <c r="A99" s="23" t="n">
        <v>36</v>
      </c>
      <c r="B99" s="23" t="inlineStr">
        <is>
          <t>Engineering en coördinatiekosten</t>
        </is>
      </c>
      <c r="C99" s="23" t="inlineStr">
        <is>
          <t>Projectleiding, werkvoorbereiding, coördinatie nevenaannemers (Trigion) en VGM-coördinatie</t>
        </is>
      </c>
      <c r="D99" s="23" t="inlineStr">
        <is>
          <t>BBN 3.9 / E&amp;W 3.3</t>
        </is>
      </c>
      <c r="E99" s="23" t="inlineStr">
        <is>
          <t>post</t>
        </is>
      </c>
      <c r="F99" s="24" t="n">
        <v>1</v>
      </c>
      <c r="G99" s="25" t="n">
        <v>16000</v>
      </c>
      <c r="H99" s="26">
        <f>F99*G99</f>
        <v/>
      </c>
      <c r="I99" s="23" t="inlineStr">
        <is>
          <t>VDL</t>
        </is>
      </c>
      <c r="J99" s="23" t="inlineStr">
        <is>
          <t>Richtprijs</t>
        </is>
      </c>
      <c r="K99" s="23" t="inlineStr"/>
    </row>
    <row r="100">
      <c r="A100" s="23" t="n">
        <v>37</v>
      </c>
      <c r="B100" s="23" t="inlineStr">
        <is>
          <t>Revisietekeningen</t>
        </is>
      </c>
      <c r="C100" s="23" t="inlineStr">
        <is>
          <t>Revisietekeningen (PDF + DWG/IFC), technisch dossier, opleverdossier fysiek + digitaal</t>
        </is>
      </c>
      <c r="D100" s="23" t="inlineStr">
        <is>
          <t>BBN 4.6 / E&amp;W 3.9</t>
        </is>
      </c>
      <c r="E100" s="23" t="inlineStr">
        <is>
          <t>post</t>
        </is>
      </c>
      <c r="F100" s="24" t="n">
        <v>1</v>
      </c>
      <c r="G100" s="25" t="n">
        <v>6500</v>
      </c>
      <c r="H100" s="26">
        <f>F100*G100</f>
        <v/>
      </c>
      <c r="I100" s="23" t="inlineStr">
        <is>
          <t>VDL + OA</t>
        </is>
      </c>
      <c r="J100" s="23" t="inlineStr">
        <is>
          <t>Richtprijs</t>
        </is>
      </c>
      <c r="K100" s="23" t="inlineStr"/>
    </row>
    <row r="101">
      <c r="A101" s="23" t="n">
        <v>38</v>
      </c>
      <c r="B101" s="23" t="inlineStr">
        <is>
          <t>Algemene Bouwplaatskosten (ABK)</t>
        </is>
      </c>
      <c r="C101" s="23" t="inlineStr">
        <is>
          <t>Uitvoerder (VCA-Vol, dagelijks aanwezig)</t>
        </is>
      </c>
      <c r="D101" s="23" t="inlineStr">
        <is>
          <t>BBN 3.9</t>
        </is>
      </c>
      <c r="E101" s="23" t="inlineStr">
        <is>
          <t>week</t>
        </is>
      </c>
      <c r="F101" s="24" t="n">
        <v>12</v>
      </c>
      <c r="G101" s="25" t="n">
        <v>2600</v>
      </c>
      <c r="H101" s="26">
        <f>F101*G101</f>
        <v/>
      </c>
      <c r="I101" s="23" t="inlineStr">
        <is>
          <t>VDL</t>
        </is>
      </c>
      <c r="J101" s="23" t="inlineStr">
        <is>
          <t>Richtprijs</t>
        </is>
      </c>
      <c r="K101" s="23" t="inlineStr">
        <is>
          <t>Doorlooptijd ca. 12 weken</t>
        </is>
      </c>
    </row>
    <row r="102">
      <c r="A102" s="23" t="n">
        <v>38</v>
      </c>
      <c r="B102" s="23" t="inlineStr">
        <is>
          <t>Algemene Bouwplaatskosten (ABK)</t>
        </is>
      </c>
      <c r="C102" s="23" t="inlineStr">
        <is>
          <t>Inpandige schaft-, sanitaire en opslagvoorzieningen</t>
        </is>
      </c>
      <c r="D102" s="23" t="inlineStr">
        <is>
          <t>BBN 4.3</t>
        </is>
      </c>
      <c r="E102" s="23" t="inlineStr">
        <is>
          <t>post</t>
        </is>
      </c>
      <c r="F102" s="24" t="n">
        <v>1</v>
      </c>
      <c r="G102" s="25" t="n">
        <v>5500</v>
      </c>
      <c r="H102" s="26">
        <f>F102*G102</f>
        <v/>
      </c>
      <c r="I102" s="23" t="inlineStr">
        <is>
          <t>VDL</t>
        </is>
      </c>
      <c r="J102" s="23" t="inlineStr">
        <is>
          <t>Richtprijs</t>
        </is>
      </c>
      <c r="K102" s="23" t="inlineStr"/>
    </row>
    <row r="103">
      <c r="A103" s="23" t="n">
        <v>38</v>
      </c>
      <c r="B103" s="23" t="inlineStr">
        <is>
          <t>Algemene Bouwplaatskosten (ABK)</t>
        </is>
      </c>
      <c r="C103" s="23" t="inlineStr">
        <is>
          <t>Afvalcontainers gescheiden afvoer incl. vergunning</t>
        </is>
      </c>
      <c r="D103" s="23" t="inlineStr">
        <is>
          <t>BBN 4.3/6.2</t>
        </is>
      </c>
      <c r="E103" s="23" t="inlineStr">
        <is>
          <t>st</t>
        </is>
      </c>
      <c r="F103" s="24" t="n">
        <v>12</v>
      </c>
      <c r="G103" s="25" t="n">
        <v>475</v>
      </c>
      <c r="H103" s="26">
        <f>F103*G103</f>
        <v/>
      </c>
      <c r="I103" s="23" t="inlineStr">
        <is>
          <t>OA afval</t>
        </is>
      </c>
      <c r="J103" s="23" t="inlineStr">
        <is>
          <t>Richtprijs</t>
        </is>
      </c>
      <c r="K103" s="23" t="inlineStr"/>
    </row>
    <row r="104">
      <c r="A104" s="23" t="n">
        <v>38</v>
      </c>
      <c r="B104" s="23" t="inlineStr">
        <is>
          <t>Algemene Bouwplaatskosten (ABK)</t>
        </is>
      </c>
      <c r="C104" s="23" t="inlineStr">
        <is>
          <t>V&amp;G-plan uitvoeringsfase, werkplan, bouwplaatsinrichting, afzettingen</t>
        </is>
      </c>
      <c r="D104" s="23" t="inlineStr">
        <is>
          <t>BBN 3.9/4.3/6.3</t>
        </is>
      </c>
      <c r="E104" s="23" t="inlineStr">
        <is>
          <t>post</t>
        </is>
      </c>
      <c r="F104" s="24" t="n">
        <v>1</v>
      </c>
      <c r="G104" s="25" t="n">
        <v>3500</v>
      </c>
      <c r="H104" s="26">
        <f>F104*G104</f>
        <v/>
      </c>
      <c r="I104" s="23" t="inlineStr">
        <is>
          <t>VDL</t>
        </is>
      </c>
      <c r="J104" s="23" t="inlineStr">
        <is>
          <t>Richtprijs</t>
        </is>
      </c>
      <c r="K104" s="23" t="inlineStr"/>
    </row>
    <row r="105">
      <c r="A105" s="23" t="n">
        <v>38</v>
      </c>
      <c r="B105" s="23" t="inlineStr">
        <is>
          <t>Algemene Bouwplaatskosten (ABK)</t>
        </is>
      </c>
      <c r="C105" s="23" t="inlineStr">
        <is>
          <t>Klein materieel, steigers/rolsteigers, transport</t>
        </is>
      </c>
      <c r="D105" s="23" t="inlineStr">
        <is>
          <t>BBN 4.2</t>
        </is>
      </c>
      <c r="E105" s="23" t="inlineStr">
        <is>
          <t>post</t>
        </is>
      </c>
      <c r="F105" s="24" t="n">
        <v>1</v>
      </c>
      <c r="G105" s="25" t="n">
        <v>4500</v>
      </c>
      <c r="H105" s="26">
        <f>F105*G105</f>
        <v/>
      </c>
      <c r="I105" s="23" t="inlineStr">
        <is>
          <t>VDL</t>
        </is>
      </c>
      <c r="J105" s="23" t="inlineStr">
        <is>
          <t>Richtprijs</t>
        </is>
      </c>
      <c r="K105" s="23" t="inlineStr"/>
    </row>
    <row r="106">
      <c r="A106" s="23" t="n">
        <v>38</v>
      </c>
      <c r="B106" s="23" t="inlineStr">
        <is>
          <t>Algemene Bouwplaatskosten (ABK)</t>
        </is>
      </c>
      <c r="C106" s="23" t="inlineStr">
        <is>
          <t>Parkeerkosten (betaald parkeren, 2 voertuigen, ca. 60 werkdagen)</t>
        </is>
      </c>
      <c r="D106" s="23" t="inlineStr">
        <is>
          <t>NvI vraag 9</t>
        </is>
      </c>
      <c r="E106" s="23" t="inlineStr">
        <is>
          <t>dag</t>
        </is>
      </c>
      <c r="F106" s="24" t="n">
        <v>120</v>
      </c>
      <c r="G106" s="25" t="n">
        <v>15</v>
      </c>
      <c r="H106" s="26">
        <f>F106*G106</f>
        <v/>
      </c>
      <c r="I106" s="23" t="inlineStr">
        <is>
          <t>VDL</t>
        </is>
      </c>
      <c r="J106" s="23" t="inlineStr">
        <is>
          <t>Richtprijs</t>
        </is>
      </c>
      <c r="K106" s="23" t="inlineStr">
        <is>
          <t>NvI vraag 9: betaald parkeren; regeling niet beantwoord</t>
        </is>
      </c>
    </row>
    <row r="107">
      <c r="A107" s="23" t="n">
        <v>38</v>
      </c>
      <c r="B107" s="23" t="inlineStr">
        <is>
          <t>Algemene Bouwplaatskosten (ABK)</t>
        </is>
      </c>
      <c r="C107" s="23" t="inlineStr">
        <is>
          <t>Hinderbeperking bewoond gebouw (stofschotten, geluidsarm werken, bewonerscommunicatie)</t>
        </is>
      </c>
      <c r="D107" s="23" t="inlineStr">
        <is>
          <t>E&amp;W 3.2 / BBN 4.4</t>
        </is>
      </c>
      <c r="E107" s="23" t="inlineStr">
        <is>
          <t>post</t>
        </is>
      </c>
      <c r="F107" s="24" t="n">
        <v>1</v>
      </c>
      <c r="G107" s="25" t="n">
        <v>3000</v>
      </c>
      <c r="H107" s="26">
        <f>F107*G107</f>
        <v/>
      </c>
      <c r="I107" s="23" t="inlineStr">
        <is>
          <t>VDL</t>
        </is>
      </c>
      <c r="J107" s="23" t="inlineStr">
        <is>
          <t>Richtprijs</t>
        </is>
      </c>
      <c r="K107" s="23" t="inlineStr"/>
    </row>
    <row r="108"/>
    <row r="109">
      <c r="C109" s="16" t="inlineStr">
        <is>
          <t>Totaal directe kosten (excl. opslagen AK/W&amp;R/CAR en risico's)</t>
        </is>
      </c>
      <c r="H109" s="28">
        <f>SUM(H2:H107)</f>
        <v/>
      </c>
    </row>
  </sheetData>
  <autoFilter ref="A1:K107"/>
  <conditionalFormatting sqref="J2:J107">
    <cfRule type="expression" priority="1" dxfId="0">
      <formula>$J2="Richtprijs"</formula>
    </cfRule>
  </conditionalFormatting>
  <dataValidations count="1">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showDropDown="0" showInputMessage="0" showErrorMessage="0" allowBlank="1" type="list">
      <formula1>"Richtprijs,Offerte aanvragen,Offerte ontvangen,Eigen norm,Stelpost (voorgeschreven)"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55" customWidth="1" min="2" max="2"/>
    <col width="18" customWidth="1" min="3" max="3"/>
    <col width="8" customWidth="1" min="4" max="4"/>
    <col width="13" customWidth="1" min="5" max="5"/>
    <col width="15" customWidth="1" min="6" max="6"/>
    <col width="12" customWidth="1" min="7" max="7"/>
    <col width="9" customWidth="1" min="8" max="8"/>
    <col width="15" customWidth="1" min="9" max="9"/>
    <col width="60" customWidth="1" min="10" max="10"/>
  </cols>
  <sheetData>
    <row r="1">
      <c r="A1" s="22" t="inlineStr">
        <is>
          <t>Nr</t>
        </is>
      </c>
      <c r="B1" s="22" t="inlineStr">
        <is>
          <t>Risico</t>
        </is>
      </c>
      <c r="C1" s="22" t="inlineStr">
        <is>
          <t>Bron (§)</t>
        </is>
      </c>
      <c r="D1" s="22" t="inlineStr">
        <is>
          <t>Kans</t>
        </is>
      </c>
      <c r="E1" s="22" t="inlineStr">
        <is>
          <t>Impact (€)</t>
        </is>
      </c>
      <c r="F1" s="22" t="inlineStr">
        <is>
          <t>Verwachte waarde</t>
        </is>
      </c>
      <c r="G1" s="22" t="inlineStr">
        <is>
          <t>Meeprijzen? (Ja/Nee)</t>
        </is>
      </c>
      <c r="H1" s="22" t="inlineStr">
        <is>
          <t>Naar post</t>
        </is>
      </c>
      <c r="I1" s="22" t="inlineStr">
        <is>
          <t>Opgenomen bedrag</t>
        </is>
      </c>
      <c r="J1" s="22" t="inlineStr">
        <is>
          <t>Toelichting / beheersmaatregel</t>
        </is>
      </c>
    </row>
    <row r="2">
      <c r="A2" s="23" t="n">
        <v>1</v>
      </c>
      <c r="B2" s="23" t="inlineStr">
        <is>
          <t>Schade aan vloerverwarming bij boren/bevestigen (geen revisie beschikbaar)</t>
        </is>
      </c>
      <c r="C2" s="23" t="inlineStr">
        <is>
          <t>BBN 3.2.1 / E&amp;W 7.3</t>
        </is>
      </c>
      <c r="D2" s="29" t="n">
        <v>0.3</v>
      </c>
      <c r="E2" s="30" t="n">
        <v>8000</v>
      </c>
      <c r="F2" s="26">
        <f>D2*E2</f>
        <v/>
      </c>
      <c r="G2" s="31" t="inlineStr">
        <is>
          <t>Ja</t>
        </is>
      </c>
      <c r="H2" s="31" t="n">
        <v>13</v>
      </c>
      <c r="I2" s="26">
        <f>IF(G2="Ja",F2,0)</f>
        <v/>
      </c>
      <c r="J2" s="23" t="inlineStr">
        <is>
          <t>Valt onder garantie opdrachtnemer. IR-scan vooraf, boorlocaties markeren.</t>
        </is>
      </c>
    </row>
    <row r="3">
      <c r="A3" s="23" t="n">
        <v>2</v>
      </c>
      <c r="B3" s="23" t="inlineStr">
        <is>
          <t>Meer kapotte ruiten of kozijnvervanging dan aangenomen (25 m²)</t>
        </is>
      </c>
      <c r="C3" s="23" t="inlineStr">
        <is>
          <t>BBN 3.1.3</t>
        </is>
      </c>
      <c r="D3" s="29" t="n">
        <v>0.5</v>
      </c>
      <c r="E3" s="30" t="n">
        <v>6000</v>
      </c>
      <c r="F3" s="26">
        <f>D3*E3</f>
        <v/>
      </c>
      <c r="G3" s="31" t="inlineStr">
        <is>
          <t>Ja</t>
        </is>
      </c>
      <c r="H3" s="31" t="n">
        <v>23</v>
      </c>
      <c r="I3" s="26">
        <f>IF(G3="Ja",F3,0)</f>
        <v/>
      </c>
      <c r="J3" s="23" t="inlineStr">
        <is>
          <t>Scope stelt u zelf vast bij opname. Schouw vóór inschrijving, anders aanname expliciet maken.</t>
        </is>
      </c>
    </row>
    <row r="4">
      <c r="A4" s="23" t="n">
        <v>3</v>
      </c>
      <c r="B4" s="23" t="inlineStr">
        <is>
          <t>Wanden tot betondek met extra brandmanchetten rond bestaande leidingen boven de kamers</t>
        </is>
      </c>
      <c r="C4" s="23" t="inlineStr">
        <is>
          <t>BBN 3.3.1 / E&amp;W 7.1</t>
        </is>
      </c>
      <c r="D4" s="29" t="n">
        <v>0.4</v>
      </c>
      <c r="E4" s="30" t="n">
        <v>15000</v>
      </c>
      <c r="F4" s="26">
        <f>D4*E4</f>
        <v/>
      </c>
      <c r="G4" s="31" t="inlineStr">
        <is>
          <t>Ja</t>
        </is>
      </c>
      <c r="H4" s="31" t="n">
        <v>25</v>
      </c>
      <c r="I4" s="26">
        <f>IF(G4="Ja",F4,0)</f>
        <v/>
      </c>
      <c r="J4" s="23" t="inlineStr">
        <is>
          <t>Bestaande leidingen lopen over de kamers en moeten in de 'drukschotten' worden opgenomen.</t>
        </is>
      </c>
    </row>
    <row r="5">
      <c r="A5" s="23" t="n">
        <v>4</v>
      </c>
      <c r="B5" s="23" t="inlineStr">
        <is>
          <t>Capaciteit bestaande BMC onvoldoende (extra lus/paneel)</t>
        </is>
      </c>
      <c r="C5" s="23" t="inlineStr">
        <is>
          <t>E&amp;W 12.2.3</t>
        </is>
      </c>
      <c r="D5" s="29" t="n">
        <v>0.3</v>
      </c>
      <c r="E5" s="30" t="n">
        <v>6000</v>
      </c>
      <c r="F5" s="26">
        <f>D5*E5</f>
        <v/>
      </c>
      <c r="G5" s="31" t="inlineStr">
        <is>
          <t>Ja</t>
        </is>
      </c>
      <c r="H5" s="31" t="n">
        <v>20</v>
      </c>
      <c r="I5" s="26">
        <f>IF(G5="Ja",F5,0)</f>
        <v/>
      </c>
      <c r="J5" s="23" t="inlineStr">
        <is>
          <t>Capaciteit vooraf laten checken door de onderhoudspartij BMI.</t>
        </is>
      </c>
    </row>
    <row r="6">
      <c r="A6" s="23" t="n">
        <v>5</v>
      </c>
      <c r="B6" s="23" t="inlineStr">
        <is>
          <t>Ondergrond vloer vraagt zwaarder herstel dan egaliseren</t>
        </is>
      </c>
      <c r="C6" s="23" t="inlineStr">
        <is>
          <t>BBN 3.2.1</t>
        </is>
      </c>
      <c r="D6" s="29" t="n">
        <v>0.4</v>
      </c>
      <c r="E6" s="30" t="n">
        <v>6000</v>
      </c>
      <c r="F6" s="26">
        <f>D6*E6</f>
        <v/>
      </c>
      <c r="G6" s="31" t="inlineStr">
        <is>
          <t>Ja</t>
        </is>
      </c>
      <c r="H6" s="31" t="n">
        <v>24</v>
      </c>
      <c r="I6" s="26">
        <f>IF(G6="Ja",F6,0)</f>
        <v/>
      </c>
      <c r="J6" s="23" t="inlineStr"/>
    </row>
    <row r="7">
      <c r="A7" s="23" t="n">
        <v>6</v>
      </c>
      <c r="B7" s="23" t="inlineStr">
        <is>
          <t>Legionella: positieve monsters, spoelen/desinfectie, herbemonstering</t>
        </is>
      </c>
      <c r="C7" s="23" t="inlineStr">
        <is>
          <t>E&amp;W 6.2.5</t>
        </is>
      </c>
      <c r="D7" s="29" t="n">
        <v>0.2</v>
      </c>
      <c r="E7" s="30" t="n">
        <v>2500</v>
      </c>
      <c r="F7" s="26">
        <f>D7*E7</f>
        <v/>
      </c>
      <c r="G7" s="31" t="inlineStr">
        <is>
          <t>Ja</t>
        </is>
      </c>
      <c r="H7" s="31" t="n">
        <v>14</v>
      </c>
      <c r="I7" s="26">
        <f>IF(G7="Ja",F7,0)</f>
        <v/>
      </c>
      <c r="J7" s="23" t="inlineStr">
        <is>
          <t>Kosten volledig voor de aannemer.</t>
        </is>
      </c>
    </row>
    <row r="8">
      <c r="A8" s="23" t="n">
        <v>7</v>
      </c>
      <c r="B8" s="23" t="inlineStr">
        <is>
          <t>Productiviteitsverlies in bewoond gebouw (lawaaiig werk alleen 08–16 uur)</t>
        </is>
      </c>
      <c r="C8" s="23" t="inlineStr">
        <is>
          <t>E&amp;W 3.2</t>
        </is>
      </c>
      <c r="D8" s="29" t="n">
        <v>0.6</v>
      </c>
      <c r="E8" s="30" t="n">
        <v>5000</v>
      </c>
      <c r="F8" s="26">
        <f>D8*E8</f>
        <v/>
      </c>
      <c r="G8" s="31" t="inlineStr">
        <is>
          <t>Ja</t>
        </is>
      </c>
      <c r="H8" s="31" t="n">
        <v>38</v>
      </c>
      <c r="I8" s="26">
        <f>IF(G8="Ja",F8,0)</f>
        <v/>
      </c>
      <c r="J8" s="23" t="inlineStr"/>
    </row>
    <row r="9">
      <c r="A9" s="23" t="n">
        <v>8</v>
      </c>
      <c r="B9" s="23" t="inlineStr">
        <is>
          <t>Versnelling om vóór eind 2026 op te leveren: start ca. 9 nov volgens NvI vraag 8 (overwerk, extra ploegen, kerstperiode)</t>
        </is>
      </c>
      <c r="C9" s="23" t="inlineStr">
        <is>
          <t>Offerteaanvraag / NvI vraag 8/15</t>
        </is>
      </c>
      <c r="D9" s="29" t="n">
        <v>0.7</v>
      </c>
      <c r="E9" s="30" t="n">
        <v>15000</v>
      </c>
      <c r="F9" s="26">
        <f>D9*E9</f>
        <v/>
      </c>
      <c r="G9" s="31" t="inlineStr">
        <is>
          <t>Ja</t>
        </is>
      </c>
      <c r="H9" s="31" t="n">
        <v>38</v>
      </c>
      <c r="I9" s="26">
        <f>IF(G9="Ja",F9,0)</f>
        <v/>
      </c>
      <c r="J9" s="23" t="inlineStr">
        <is>
          <t>Overwerk mag alleen met schriftelijke toestemming. Beter: realistische planning met benoemde afhankelijkheden.</t>
        </is>
      </c>
    </row>
    <row r="10">
      <c r="A10" s="23" t="n">
        <v>9</v>
      </c>
      <c r="B10" s="23" t="inlineStr">
        <is>
          <t>Pantry's slaapkamers: water en afvoer staan niet in E&amp;W en niet op T.0.01/R.0.01</t>
        </is>
      </c>
      <c r="C10" s="23" t="inlineStr">
        <is>
          <t>BBN 3.7.3 vs E&amp;W 6.1/6.2 + T.0.01</t>
        </is>
      </c>
      <c r="D10" s="29" t="n">
        <v>0.35</v>
      </c>
      <c r="E10" s="30" t="n">
        <v>25000</v>
      </c>
      <c r="F10" s="26">
        <f>D10*E10</f>
        <v/>
      </c>
      <c r="G10" s="31" t="inlineStr">
        <is>
          <t>Nee</t>
        </is>
      </c>
      <c r="H10" s="31" t="n">
        <v>14</v>
      </c>
      <c r="I10" s="26">
        <f>IF(G10="Ja",F10,0)</f>
        <v/>
      </c>
      <c r="J10" s="23" t="inlineStr">
        <is>
          <t>Tekeningen bevestigen: alleen koelkast (kk) per kamer, geen tappunt. Niet meegeprijsd; uitgangspunt vastleggen.</t>
        </is>
      </c>
    </row>
    <row r="11">
      <c r="A11" s="23" t="n">
        <v>10</v>
      </c>
      <c r="B11" s="23" t="inlineStr">
        <is>
          <t>Kernboringen door BG-vloer boven parkeergarage: vloerverwarming en brandwerend dichten</t>
        </is>
      </c>
      <c r="C11" s="23" t="inlineStr">
        <is>
          <t>R.-1.01 / E&amp;W 6.1.1</t>
        </is>
      </c>
      <c r="D11" s="29" t="n">
        <v>0.3</v>
      </c>
      <c r="E11" s="30" t="n">
        <v>4000</v>
      </c>
      <c r="F11" s="26">
        <f>D11*E11</f>
        <v/>
      </c>
      <c r="G11" s="31" t="inlineStr">
        <is>
          <t>Ja</t>
        </is>
      </c>
      <c r="H11" s="31" t="n">
        <v>14</v>
      </c>
      <c r="I11" s="26">
        <f>IF(G11="Ja",F11,0)</f>
        <v/>
      </c>
      <c r="J11" s="23" t="inlineStr">
        <is>
          <t>Ca. 12 doorboringen; garage is apart brandcompartiment.</t>
        </is>
      </c>
    </row>
    <row r="12">
      <c r="A12" s="23" t="n">
        <v>11</v>
      </c>
      <c r="B12" s="23" t="inlineStr">
        <is>
          <t>Tellingen uit PDF-tekeningen wijken af van de werkelijke aantallen</t>
        </is>
      </c>
      <c r="C12" s="23" t="inlineStr">
        <is>
          <t>Tekeningen E.001, L.0.01, T.0.01</t>
        </is>
      </c>
      <c r="D12" s="29" t="n">
        <v>0.3</v>
      </c>
      <c r="E12" s="30" t="n">
        <v>10000</v>
      </c>
      <c r="F12" s="26">
        <f>D12*E12</f>
        <v/>
      </c>
      <c r="G12" s="31" t="inlineStr">
        <is>
          <t>Ja</t>
        </is>
      </c>
      <c r="H12" s="31" t="n">
        <v>36</v>
      </c>
      <c r="I12" s="26">
        <f>IF(G12="Ja",F12,0)</f>
        <v/>
      </c>
      <c r="J12" s="23" t="inlineStr">
        <is>
          <t>Tellingen zijn visueel/uit tekstlabels. Laat installateurs natellen op DWG (NvI vraag 2).</t>
        </is>
      </c>
    </row>
    <row r="13">
      <c r="A13" s="23" t="n">
        <v>12</v>
      </c>
      <c r="B13" s="23" t="inlineStr">
        <is>
          <t>WKO-capaciteit / inregelen onvoldoende (nooit waterzijdig ingeregeld)</t>
        </is>
      </c>
      <c r="C13" s="23" t="inlineStr">
        <is>
          <t>E&amp;W 4.2.2/7.1</t>
        </is>
      </c>
      <c r="D13" s="29" t="n">
        <v>0.15</v>
      </c>
      <c r="E13" s="30" t="n">
        <v>8000</v>
      </c>
      <c r="F13" s="26">
        <f>D13*E13</f>
        <v/>
      </c>
      <c r="G13" s="31" t="inlineStr">
        <is>
          <t>Nee</t>
        </is>
      </c>
      <c r="H13" s="31" t="n">
        <v>13</v>
      </c>
      <c r="I13" s="26">
        <f>IF(G13="Ja",F13,0)</f>
        <v/>
      </c>
      <c r="J13" s="23" t="inlineStr">
        <is>
          <t>Het bestek stelt dat de aannemer mag uitgaan van voldoende capaciteit, dus dit risico ligt bij de opdrachtgever.</t>
        </is>
      </c>
    </row>
    <row r="14"/>
    <row r="15">
      <c r="B15" s="16" t="inlineStr">
        <is>
          <t>Totaal meegeprijsde risico's</t>
        </is>
      </c>
      <c r="I15" s="28">
        <f>SUM(I2:I13)</f>
        <v/>
      </c>
    </row>
    <row r="16">
      <c r="B16" s="32" t="inlineStr">
        <is>
          <t>Totaal verwachte waarde alle risico's (ter info)</t>
        </is>
      </c>
      <c r="I16" s="20">
        <f>SUM(F2:F13)</f>
        <v/>
      </c>
    </row>
  </sheetData>
  <dataValidations count="1">
    <dataValidation sqref="G2:G13" showDropDown="0" showInputMessage="0" showErrorMessage="0" allowBlank="0" type="list">
      <formula1>"Ja,Nee"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60" customWidth="1" min="1" max="1"/>
    <col width="10" customWidth="1" min="2" max="2"/>
    <col width="14" customWidth="1" min="3" max="3"/>
    <col width="20" customWidth="1" min="4" max="4"/>
    <col width="50" customWidth="1" min="5" max="5"/>
  </cols>
  <sheetData>
    <row r="1">
      <c r="A1" s="4" t="inlineStr">
        <is>
          <t>Verrekenprijzen die E&amp;W apart vraagt (niet in het formulier)</t>
        </is>
      </c>
    </row>
    <row r="2"/>
    <row r="3">
      <c r="A3" s="33" t="inlineStr">
        <is>
          <t>Omschrijving</t>
        </is>
      </c>
      <c r="B3" s="33" t="inlineStr">
        <is>
          <t>Eenh.</t>
        </is>
      </c>
      <c r="C3" s="33" t="inlineStr">
        <is>
          <t>Prijs</t>
        </is>
      </c>
      <c r="D3" s="33" t="inlineStr">
        <is>
          <t>Status</t>
        </is>
      </c>
      <c r="E3" s="33" t="inlineStr">
        <is>
          <t>Bron</t>
        </is>
      </c>
    </row>
    <row r="4">
      <c r="A4" s="18" t="inlineStr">
        <is>
          <t>Herstel isolatie CV-leiding, steenwol 30 mm + alufolie, t/m DN25</t>
        </is>
      </c>
      <c r="B4" s="18" t="inlineStr">
        <is>
          <t>m1</t>
        </is>
      </c>
      <c r="C4" s="34" t="n">
        <v>28</v>
      </c>
      <c r="D4" s="18" t="inlineStr">
        <is>
          <t>Richtprijs</t>
        </is>
      </c>
      <c r="E4" s="18" t="inlineStr">
        <is>
          <t>E&amp;W 5.2 – meerwerk op basis van meterprijs</t>
        </is>
      </c>
    </row>
    <row r="5">
      <c r="A5" s="18" t="inlineStr">
        <is>
          <t>Herstel isolatie CV-leiding, steenwol 30 mm + alufolie, DN32–DN50</t>
        </is>
      </c>
      <c r="B5" s="18" t="inlineStr">
        <is>
          <t>m1</t>
        </is>
      </c>
      <c r="C5" s="34" t="n">
        <v>38</v>
      </c>
      <c r="D5" s="18" t="inlineStr">
        <is>
          <t>Richtprijs</t>
        </is>
      </c>
      <c r="E5" s="18" t="inlineStr">
        <is>
          <t>E&amp;W 5.2</t>
        </is>
      </c>
    </row>
    <row r="6">
      <c r="A6" s="18" t="inlineStr">
        <is>
          <t>Herstel isolatie GKW-leiding Armaflex AF-13/AF-19, t/m DN25</t>
        </is>
      </c>
      <c r="B6" s="18" t="inlineStr">
        <is>
          <t>m1</t>
        </is>
      </c>
      <c r="C6" s="34" t="n">
        <v>32</v>
      </c>
      <c r="D6" s="18" t="inlineStr">
        <is>
          <t>Richtprijs</t>
        </is>
      </c>
      <c r="E6" s="18" t="inlineStr">
        <is>
          <t>E&amp;W 5.2</t>
        </is>
      </c>
    </row>
    <row r="7">
      <c r="A7" s="18" t="inlineStr">
        <is>
          <t>Herstel isolatie GKW-leiding Armaflex AF-19, DN32–DN50</t>
        </is>
      </c>
      <c r="B7" s="18" t="inlineStr">
        <is>
          <t>m1</t>
        </is>
      </c>
      <c r="C7" s="34" t="n">
        <v>44</v>
      </c>
      <c r="D7" s="18" t="inlineStr">
        <is>
          <t>Richtprijs</t>
        </is>
      </c>
      <c r="E7" s="18" t="inlineStr">
        <is>
          <t>E&amp;W 5.2</t>
        </is>
      </c>
    </row>
    <row r="8">
      <c r="A8" s="18" t="inlineStr">
        <is>
          <t>Aansluitsnoer RJ-45 CAT6a afwijkende lengte (3,0 m)</t>
        </is>
      </c>
      <c r="B8" s="18" t="inlineStr">
        <is>
          <t>st</t>
        </is>
      </c>
      <c r="C8" s="34" t="n">
        <v>9</v>
      </c>
      <c r="D8" s="18" t="inlineStr">
        <is>
          <t>Richtprijs</t>
        </is>
      </c>
      <c r="E8" s="18" t="inlineStr">
        <is>
          <t>E&amp;W 11.2.1</t>
        </is>
      </c>
    </row>
    <row r="9">
      <c r="A9" s="18" t="inlineStr">
        <is>
          <t>Aansluitsnoer RJ-45 CAT6a afwijkende lengte (5,0 m)</t>
        </is>
      </c>
      <c r="B9" s="18" t="inlineStr">
        <is>
          <t>st</t>
        </is>
      </c>
      <c r="C9" s="34" t="n">
        <v>12</v>
      </c>
      <c r="D9" s="18" t="inlineStr">
        <is>
          <t>Richtprijs</t>
        </is>
      </c>
      <c r="E9" s="18" t="inlineStr">
        <is>
          <t>E&amp;W 11.2.1</t>
        </is>
      </c>
    </row>
    <row r="10">
      <c r="A10" s="18" t="inlineStr">
        <is>
          <t>Patchsnoer RJ-45 CAT6a afwijkende kleur/lengte</t>
        </is>
      </c>
      <c r="B10" s="18" t="inlineStr">
        <is>
          <t>st</t>
        </is>
      </c>
      <c r="C10" s="34" t="n">
        <v>8</v>
      </c>
      <c r="D10" s="18" t="inlineStr">
        <is>
          <t>Richtprijs</t>
        </is>
      </c>
      <c r="E10" s="18" t="inlineStr">
        <is>
          <t>E&amp;W 11.2.1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5" customWidth="1" min="1" max="1"/>
    <col width="70" customWidth="1" min="2" max="2"/>
    <col width="18" customWidth="1" min="3" max="3"/>
    <col width="70" customWidth="1" min="4" max="4"/>
  </cols>
  <sheetData>
    <row r="1">
      <c r="B1" s="4" t="inlineStr">
        <is>
          <t>Optimalisaties (optioneel, formulierregels 49–51) – tellen niet mee in de gunning</t>
        </is>
      </c>
    </row>
    <row r="2"/>
    <row r="3">
      <c r="A3" s="33" t="inlineStr">
        <is>
          <t>#</t>
        </is>
      </c>
      <c r="B3" s="33" t="inlineStr">
        <is>
          <t>Omschrijving (voordeel t.o.v. basis)</t>
        </is>
      </c>
      <c r="C3" s="33" t="inlineStr">
        <is>
          <t>Indicatie meer/minder</t>
        </is>
      </c>
      <c r="D3" s="33" t="inlineStr">
        <is>
          <t>Toelichting / voorwaarde</t>
        </is>
      </c>
    </row>
    <row r="4">
      <c r="A4" s="18" t="n">
        <v>1</v>
      </c>
      <c r="B4" s="35" t="inlineStr">
        <is>
          <t>Prefab/gestandaardiseerde pantry-units voor alle slaapkamers (één type)</t>
        </is>
      </c>
      <c r="C4" s="36" t="n">
        <v>-6000</v>
      </c>
      <c r="D4" s="35" t="inlineStr">
        <is>
          <t>Minder montage-uren en kortere levertijd. Past binnen HPL/RVS-eisen BBN 3.7.3.</t>
        </is>
      </c>
    </row>
    <row r="5">
      <c r="A5" s="18" t="n">
        <v>2</v>
      </c>
      <c r="B5" s="35" t="inlineStr">
        <is>
          <t>Alternatief fabricaat recirculatie-afzuigkappen (aantoonbaar gelijkwaardig)</t>
        </is>
      </c>
      <c r="C5" s="36" t="n">
        <v>-5000</v>
      </c>
      <c r="D5" s="35" t="inlineStr">
        <is>
          <t>Toegestaan volgens E&amp;W 8.4.6/8.4.7. Gelijkwaardigheid onderbouwen.</t>
        </is>
      </c>
    </row>
    <row r="6">
      <c r="A6" s="18" t="n">
        <v>3</v>
      </c>
      <c r="B6" s="35" t="inlineStr">
        <is>
          <t>Bestaande plafondprofielen hergebruiken waar ze in goede staat zijn, alleen platen vervangen</t>
        </is>
      </c>
      <c r="C6" s="36" t="n">
        <v>-8000</v>
      </c>
      <c r="D6" s="35" t="inlineStr">
        <is>
          <t>BBN 3.5 gaat uit van volledige vervanging. Alleen in overleg en na opname.</t>
        </is>
      </c>
    </row>
    <row r="7">
      <c r="A7" s="18" t="n">
        <v>4</v>
      </c>
      <c r="B7" s="35" t="inlineStr">
        <is>
          <t>HPL-douchecabines zoals op de verdiepingen i.p.v. metal-stud + tegelwerk (NvI vraag 14)</t>
        </is>
      </c>
      <c r="C7" s="36" t="n">
        <v>-9000</v>
      </c>
      <c r="D7" s="35" t="inlineStr">
        <is>
          <t>Sneller en goedkoper; privacy blijft gewaarborgd.</t>
        </is>
      </c>
    </row>
    <row r="8">
      <c r="A8" s="18" t="n">
        <v>5</v>
      </c>
      <c r="B8" s="35" t="inlineStr">
        <is>
          <t>Marmoleum naadloos doorzetten in woonkamers i.p.v. combinatie met tapijttegels (NvI vraag 11)</t>
        </is>
      </c>
      <c r="C8" s="36" t="n">
        <v>-1500</v>
      </c>
      <c r="D8" s="35" t="inlineStr">
        <is>
          <t>Minder overgangen, beter reinigbaar.</t>
        </is>
      </c>
    </row>
    <row r="9">
      <c r="A9" s="18" t="n">
        <v>6</v>
      </c>
      <c r="B9" s="35" t="inlineStr">
        <is>
          <t>RVS-onderkasten en -werkblad in keuken 0.24 (64 personen) (NvI vraag 12)</t>
        </is>
      </c>
      <c r="C9" s="36" t="n">
        <v>6000</v>
      </c>
      <c r="D9" s="35" t="inlineStr">
        <is>
          <t>Meerprijs, maar HPL is niet hittebestendig.</t>
        </is>
      </c>
    </row>
    <row r="10">
      <c r="A10" s="18" t="n">
        <v>7</v>
      </c>
      <c r="B10" s="35" t="inlineStr">
        <is>
          <t>Planningsvoorstel: gefaseerde oplevering (eerst zuidvleugel, dan noord)</t>
        </is>
      </c>
      <c r="C10" s="36" t="n">
        <v>0</v>
      </c>
      <c r="D10" s="35" t="inlineStr">
        <is>
          <t>Geen kostenverschil, wel eerder bewoonbaar en minder planningsrisico.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5" customWidth="1" min="1" max="1"/>
    <col width="60" customWidth="1" min="2" max="2"/>
    <col width="45" customWidth="1" min="3" max="3"/>
    <col width="60" customWidth="1" min="4" max="4"/>
  </cols>
  <sheetData>
    <row r="1">
      <c r="A1" s="4" t="inlineStr">
        <is>
          <t>Nota van Inlichtingen 21-09-2026 (TN-606498) – verwerking in het model</t>
        </is>
      </c>
    </row>
    <row r="2" ht="30" customHeight="1">
      <c r="A2" s="35" t="inlineStr">
        <is>
          <t>Let op: het document bevat alleen de vragen. De antwoorden zijn 'naar individuele vragen en antwoorden vertaald' en het componentenboek staat als bijlage op TenderNed. Download deze en controleer onderstaande aannames.</t>
        </is>
      </c>
    </row>
    <row r="3"/>
    <row r="4">
      <c r="A4" s="33" t="inlineStr">
        <is>
          <t>#</t>
        </is>
      </c>
      <c r="B4" s="33" t="inlineStr">
        <is>
          <t>Vraag (samengevat)</t>
        </is>
      </c>
      <c r="C4" s="33" t="inlineStr">
        <is>
          <t>Antwoord in dit document</t>
        </is>
      </c>
      <c r="D4" s="33" t="inlineStr">
        <is>
          <t>Verwerking in model</t>
        </is>
      </c>
    </row>
    <row r="5">
      <c r="A5" s="37" t="n">
        <v>1</v>
      </c>
      <c r="B5" s="37" t="inlineStr">
        <is>
          <t>Materiaalboek SPIE 2022 en sanitairboek ontbreken</t>
        </is>
      </c>
      <c r="C5" s="37" t="inlineStr">
        <is>
          <t>Componentenboek toegevoegd als bijlage (niet ontvangen)</t>
        </is>
      </c>
      <c r="D5" s="37" t="inlineStr">
        <is>
          <t>Fabricaten conform E&amp;W aangehouden; controleren tegen componentenboek.</t>
        </is>
      </c>
    </row>
    <row r="6">
      <c r="A6" s="37" t="n">
        <v>2</v>
      </c>
      <c r="B6" s="37" t="inlineStr">
        <is>
          <t>DWG-bestanden voor revisie?</t>
        </is>
      </c>
      <c r="C6" s="37" t="inlineStr">
        <is>
          <t>Verwezen naar afzonderlijk antwoord</t>
        </is>
      </c>
      <c r="D6" s="37" t="inlineStr">
        <is>
          <t>Revisiepost ongewijzigd. Met DWG kunnen aantallen exact worden geteld.</t>
        </is>
      </c>
    </row>
    <row r="7">
      <c r="A7" s="37" t="n">
        <v>3</v>
      </c>
      <c r="B7" s="37" t="inlineStr">
        <is>
          <t>Afprijzen van posten die van een voorstel afhangen (lichtplan, warmteverlies, fietsenstalling)</t>
        </is>
      </c>
      <c r="C7" s="37" t="inlineStr">
        <is>
          <t>Niet in dit document</t>
        </is>
      </c>
      <c r="D7" s="37" t="inlineStr">
        <is>
          <t>Als vaste prijs op basis van het bestek; engineering in post E36.</t>
        </is>
      </c>
    </row>
    <row r="8">
      <c r="A8" s="37" t="n">
        <v>4</v>
      </c>
      <c r="B8" s="37" t="inlineStr">
        <is>
          <t>Stoot- of inbraakwerendheidsklasse wanden?</t>
        </is>
      </c>
      <c r="C8" s="37" t="inlineStr">
        <is>
          <t>Niet in dit document</t>
        </is>
      </c>
      <c r="D8" s="37" t="inlineStr">
        <is>
          <t>Geen extra klasse meegeprijsd.</t>
        </is>
      </c>
    </row>
    <row r="9">
      <c r="A9" s="37" t="n">
        <v>5</v>
      </c>
      <c r="B9" s="37" t="inlineStr">
        <is>
          <t>59 dB: DnT,A of Rw? Vraagt dubbele frames 155–170 mm</t>
        </is>
      </c>
      <c r="C9" s="37" t="inlineStr">
        <is>
          <t>Niet in dit document</t>
        </is>
      </c>
      <c r="D9" s="37" t="inlineStr">
        <is>
          <t>Dubbele frame wand meegeprijsd voor kantoor/gespreksruimten (60 m²).</t>
        </is>
      </c>
    </row>
    <row r="10">
      <c r="A10" s="37" t="n">
        <v>6</v>
      </c>
      <c r="B10" s="37" t="inlineStr">
        <is>
          <t>Alle kamerscheidende wanden volledig nieuw, plafond eruit</t>
        </is>
      </c>
      <c r="C10" s="37" t="inlineStr">
        <is>
          <t>Niet in dit document</t>
        </is>
      </c>
      <c r="D10" s="37" t="inlineStr">
        <is>
          <t>Zo meegeprijsd: 300 m1 nieuwe wand tot betondek.</t>
        </is>
      </c>
    </row>
    <row r="11">
      <c r="A11" s="37" t="n">
        <v>7</v>
      </c>
      <c r="B11" s="37" t="inlineStr">
        <is>
          <t>Brandklasse gordijnen en tapijt?</t>
        </is>
      </c>
      <c r="C11" s="37" t="inlineStr">
        <is>
          <t>Niet in dit document</t>
        </is>
      </c>
      <c r="D11" s="37" t="inlineStr">
        <is>
          <t>Standaard brandklasse (Cfl-s1 / B1) in richtprijs; controleren.</t>
        </is>
      </c>
    </row>
    <row r="12">
      <c r="A12" s="37" t="n">
        <v>8</v>
      </c>
      <c r="B12" s="37" t="inlineStr">
        <is>
          <t>Planning krap: gunning 12 okt, start 9 nov, V&amp;G 4 weken vooraf</t>
        </is>
      </c>
      <c r="C12" s="37" t="inlineStr">
        <is>
          <t>Niet in dit document</t>
        </is>
      </c>
      <c r="D12" s="37" t="inlineStr">
        <is>
          <t>Versnellingsrisico verhoogd naar 70% × € 15.000.</t>
        </is>
      </c>
    </row>
    <row r="13">
      <c r="A13" s="37" t="n">
        <v>9</v>
      </c>
      <c r="B13" s="37" t="inlineStr">
        <is>
          <t>Betaald parkeren: regie, plek of kaart?</t>
        </is>
      </c>
      <c r="C13" s="37" t="inlineStr">
        <is>
          <t>Niet in dit document</t>
        </is>
      </c>
      <c r="D13" s="37" t="inlineStr">
        <is>
          <t>Parkeerkosten opgenomen in ABK (€ 1.800).</t>
        </is>
      </c>
    </row>
    <row r="14">
      <c r="A14" s="37" t="n">
        <v>10</v>
      </c>
      <c r="B14" s="37" t="inlineStr">
        <is>
          <t>Type systeemplafond of standaard 60x60 wit?</t>
        </is>
      </c>
      <c r="C14" s="37" t="inlineStr">
        <is>
          <t>Niet in dit document</t>
        </is>
      </c>
      <c r="D14" s="37" t="inlineStr">
        <is>
          <t>Standaard 600x600 wit aangehouden.</t>
        </is>
      </c>
    </row>
    <row r="15">
      <c r="A15" s="37" t="n">
        <v>11</v>
      </c>
      <c r="B15" s="37" t="inlineStr">
        <is>
          <t>Naadloos marmoleum i.p.v. tapijt/marmoleum per kamer?</t>
        </is>
      </c>
      <c r="C15" s="37" t="inlineStr">
        <is>
          <t>Niet in dit document</t>
        </is>
      </c>
      <c r="D15" s="37" t="inlineStr">
        <is>
          <t>Basis volgens bestek; genoemd als optimalisatie.</t>
        </is>
      </c>
    </row>
    <row r="16">
      <c r="A16" s="37" t="n">
        <v>12</v>
      </c>
      <c r="B16" s="37" t="inlineStr">
        <is>
          <t>RVS-kasten in keuken (64 personen) i.p.v. HPL?</t>
        </is>
      </c>
      <c r="C16" s="37" t="inlineStr">
        <is>
          <t>Niet in dit document</t>
        </is>
      </c>
      <c r="D16" s="37" t="inlineStr">
        <is>
          <t>Basis HPL volgens bestek; RVS als optimalisatie met meerprijs.</t>
        </is>
      </c>
    </row>
    <row r="17">
      <c r="A17" s="37" t="n">
        <v>13</v>
      </c>
      <c r="B17" s="37" t="inlineStr">
        <is>
          <t>Meubilair en inrichting door aannemer?</t>
        </is>
      </c>
      <c r="C17" s="37" t="inlineStr">
        <is>
          <t>Niet in dit document</t>
        </is>
      </c>
      <c r="D17" s="37" t="inlineStr">
        <is>
          <t>Niet meegeprijsd (niet in scope BBN).</t>
        </is>
      </c>
    </row>
    <row r="18">
      <c r="A18" s="37" t="n">
        <v>14</v>
      </c>
      <c r="B18" s="37" t="inlineStr">
        <is>
          <t>HPL-douchecabines zoals boven i.p.v. metal-stud + tegels?</t>
        </is>
      </c>
      <c r="C18" s="37" t="inlineStr">
        <is>
          <t>Niet in dit document</t>
        </is>
      </c>
      <c r="D18" s="37" t="inlineStr">
        <is>
          <t>Basis volgens bestek; HPL-cabines als optimalisatie.</t>
        </is>
      </c>
    </row>
    <row r="19">
      <c r="A19" s="37" t="n">
        <v>15</v>
      </c>
      <c r="B19" s="37" t="inlineStr">
        <is>
          <t>08:00–16:00 hard of afbouw een uur eerder/later?</t>
        </is>
      </c>
      <c r="C19" s="37" t="inlineStr">
        <is>
          <t>Niet in dit document</t>
        </is>
      </c>
      <c r="D19" s="37" t="inlineStr">
        <is>
          <t>Uitgegaan van 08:00–16:00 voor lawaaiig werk.</t>
        </is>
      </c>
    </row>
    <row r="20"/>
    <row r="21" ht="30" customHeight="1">
      <c r="A21" s="35" t="inlineStr">
        <is>
          <t>Opvallend: de NvI noemt Gemeente Wijdemeren als aanbestedende dienst en is gedateerd na de oorspronkelijke sluitingsdatum (18-09). Controleer de actuele sluitingsdatum op TenderNed.</t>
        </is>
      </c>
    </row>
  </sheetData>
  <mergeCells count="2">
    <mergeCell ref="A21:D2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3"/>
  <sheetViews>
    <sheetView workbookViewId="0">
      <selection activeCell="A1" sqref="A1"/>
    </sheetView>
  </sheetViews>
  <sheetFormatPr baseColWidth="8" defaultRowHeight="15"/>
  <cols>
    <col width="45" customWidth="1" min="1" max="1"/>
    <col width="12" customWidth="1" min="2" max="2"/>
    <col width="30" customWidth="1" min="3" max="3"/>
    <col width="55" customWidth="1" min="4" max="4"/>
    <col width="20" customWidth="1" min="5" max="5"/>
  </cols>
  <sheetData>
    <row r="1">
      <c r="A1" s="4" t="inlineStr">
        <is>
          <t>Tellingen uit de tekeningen (versie 2)</t>
        </is>
      </c>
    </row>
    <row r="2"/>
    <row r="3">
      <c r="A3" s="33" t="inlineStr">
        <is>
          <t>Onderdeel</t>
        </is>
      </c>
      <c r="B3" s="33" t="inlineStr">
        <is>
          <t>Aantal</t>
        </is>
      </c>
      <c r="C3" s="33" t="inlineStr">
        <is>
          <t>Tekening</t>
        </is>
      </c>
      <c r="D3" s="33" t="inlineStr">
        <is>
          <t>Toelichting</t>
        </is>
      </c>
      <c r="E3" s="33" t="inlineStr">
        <is>
          <t>Zekerheid</t>
        </is>
      </c>
    </row>
    <row r="4">
      <c r="A4" s="37" t="inlineStr">
        <is>
          <t>Bewonerskamers</t>
        </is>
      </c>
      <c r="B4" s="37" t="inlineStr">
        <is>
          <t>29</t>
        </is>
      </c>
      <c r="C4" s="37" t="inlineStr">
        <is>
          <t>L.0.01-A/B, E.001</t>
        </is>
      </c>
      <c r="D4" s="37" t="inlineStr">
        <is>
          <t>17 in deel A (0.07–0.23), 12 in deel B (0.49–0.56, 0.50a, 0.74–0.76)</t>
        </is>
      </c>
      <c r="E4" s="37" t="inlineStr">
        <is>
          <t>Hoog</t>
        </is>
      </c>
    </row>
    <row r="5">
      <c r="A5" s="37" t="inlineStr">
        <is>
          <t>Fancoils benodigd</t>
        </is>
      </c>
      <c r="B5" s="37" t="inlineStr">
        <is>
          <t>34</t>
        </is>
      </c>
      <c r="C5" s="37" t="inlineStr">
        <is>
          <t>L.0.01-A/B</t>
        </is>
      </c>
      <c r="D5" s="37" t="inlineStr">
        <is>
          <t>1 per kamer (29) + 3 keuken 0.24 + 1 keuken 0.64 + 1 personeelsruimte 0.73</t>
        </is>
      </c>
      <c r="E5" s="37" t="inlineStr">
        <is>
          <t>Middel</t>
        </is>
      </c>
    </row>
    <row r="6">
      <c r="A6" s="37" t="inlineStr">
        <is>
          <t>Fancoils bestaand (demontage)</t>
        </is>
      </c>
      <c r="B6" s="37" t="inlineStr">
        <is>
          <t>29</t>
        </is>
      </c>
      <c r="C6" s="37" t="inlineStr">
        <is>
          <t>D.0.01-A/B</t>
        </is>
      </c>
      <c r="D6" s="37" t="inlineStr">
        <is>
          <t>19 in deel A, 10 in deel B</t>
        </is>
      </c>
      <c r="E6" s="37" t="inlineStr">
        <is>
          <t>Middel</t>
        </is>
      </c>
    </row>
    <row r="7">
      <c r="A7" s="37" t="inlineStr">
        <is>
          <t>Kanaalverwarmers/-koelers</t>
        </is>
      </c>
      <c r="B7" s="37" t="inlineStr">
        <is>
          <t>6</t>
        </is>
      </c>
      <c r="C7" s="37" t="inlineStr">
        <is>
          <t>E&amp;W 7.1, L.0.01</t>
        </is>
      </c>
      <c r="D7" s="37" t="inlineStr">
        <is>
          <t>0.04, 0.05, 0.44, 0.45, 0.62, 0.63</t>
        </is>
      </c>
      <c r="E7" s="37" t="inlineStr">
        <is>
          <t>Middel</t>
        </is>
      </c>
    </row>
    <row r="8">
      <c r="A8" s="37" t="inlineStr">
        <is>
          <t>Brandkleppen</t>
        </is>
      </c>
      <c r="B8" s="37" t="inlineStr">
        <is>
          <t>ca. 64</t>
        </is>
      </c>
      <c r="C8" s="37" t="inlineStr">
        <is>
          <t>L.0.01, E.001</t>
        </is>
      </c>
      <c r="D8" s="37" t="inlineStr">
        <is>
          <t>2 per kamer + ca. 6 in 60-min scheidingen</t>
        </is>
      </c>
      <c r="E8" s="37" t="inlineStr">
        <is>
          <t>Middel</t>
        </is>
      </c>
    </row>
    <row r="9">
      <c r="A9" s="37" t="inlineStr">
        <is>
          <t>Roosters</t>
        </is>
      </c>
      <c r="B9" s="37" t="inlineStr">
        <is>
          <t>ca. 230</t>
        </is>
      </c>
      <c r="C9" s="37" t="inlineStr">
        <is>
          <t>L.0.01-A/B</t>
        </is>
      </c>
      <c r="D9" s="37" t="inlineStr">
        <is>
          <t>6 per kamer + keukens/overige ruimten</t>
        </is>
      </c>
      <c r="E9" s="37" t="inlineStr">
        <is>
          <t>Laag</t>
        </is>
      </c>
    </row>
    <row r="10">
      <c r="A10" s="37" t="inlineStr">
        <is>
          <t>Douches</t>
        </is>
      </c>
      <c r="B10" s="37" t="inlineStr">
        <is>
          <t>10</t>
        </is>
      </c>
      <c r="C10" s="37" t="inlineStr">
        <is>
          <t>T.0.01</t>
        </is>
      </c>
      <c r="D10" s="37" t="inlineStr">
        <is>
          <t>4 in 0.42, 4 in 0.37, 2 in 0.70/0.71</t>
        </is>
      </c>
      <c r="E10" s="37" t="inlineStr">
        <is>
          <t>Hoog</t>
        </is>
      </c>
    </row>
    <row r="11">
      <c r="A11" s="37" t="inlineStr">
        <is>
          <t>Wastafels</t>
        </is>
      </c>
      <c r="B11" s="37" t="inlineStr">
        <is>
          <t>8</t>
        </is>
      </c>
      <c r="C11" s="37" t="inlineStr">
        <is>
          <t>T.0.01</t>
        </is>
      </c>
      <c r="D11" s="37" t="inlineStr">
        <is>
          <t>4 in 0.42, 4 in 0.37</t>
        </is>
      </c>
      <c r="E11" s="37" t="inlineStr">
        <is>
          <t>Hoog</t>
        </is>
      </c>
    </row>
    <row r="12">
      <c r="A12" s="37" t="inlineStr">
        <is>
          <t>Tappunten aanrecht</t>
        </is>
      </c>
      <c r="B12" s="37" t="inlineStr">
        <is>
          <t>7</t>
        </is>
      </c>
      <c r="C12" s="37" t="inlineStr">
        <is>
          <t>T.0.01</t>
        </is>
      </c>
      <c r="D12" s="37" t="inlineStr">
        <is>
          <t>3 in 0.24, 3 in 0.64, 1 pantry 0.01</t>
        </is>
      </c>
      <c r="E12" s="37" t="inlineStr">
        <is>
          <t>Middel</t>
        </is>
      </c>
    </row>
    <row r="13">
      <c r="A13" s="37" t="inlineStr">
        <is>
          <t>Wasmachines / drogers</t>
        </is>
      </c>
      <c r="B13" s="37" t="inlineStr">
        <is>
          <t>4 / 3</t>
        </is>
      </c>
      <c r="C13" s="37" t="inlineStr">
        <is>
          <t>T.0.01, E.001</t>
        </is>
      </c>
      <c r="D13" s="37" t="inlineStr">
        <is>
          <t>wm/wd in 0.57</t>
        </is>
      </c>
      <c r="E13" s="37" t="inlineStr">
        <is>
          <t>Hoog</t>
        </is>
      </c>
    </row>
    <row r="14">
      <c r="A14" s="37" t="inlineStr">
        <is>
          <t>Water naar kamers (pantry)</t>
        </is>
      </c>
      <c r="B14" s="37" t="inlineStr">
        <is>
          <t>0</t>
        </is>
      </c>
      <c r="C14" s="37" t="inlineStr">
        <is>
          <t>T.0.01, R.0.01</t>
        </is>
      </c>
      <c r="D14" s="37" t="inlineStr">
        <is>
          <t>Alleen koelkast (kk) per kamer</t>
        </is>
      </c>
      <c r="E14" s="37" t="inlineStr">
        <is>
          <t>Hoog</t>
        </is>
      </c>
    </row>
    <row r="15">
      <c r="A15" s="37" t="inlineStr">
        <is>
          <t>Nieuwe VWA kelder</t>
        </is>
      </c>
      <c r="B15" s="37" t="inlineStr">
        <is>
          <t>ca. 40 m</t>
        </is>
      </c>
      <c r="C15" s="37" t="inlineStr">
        <is>
          <t>R.-1.01</t>
        </is>
      </c>
      <c r="D15" s="37" t="inlineStr">
        <is>
          <t>Van keuken/badruimten naar vetafscheider</t>
        </is>
      </c>
      <c r="E15" s="37" t="inlineStr">
        <is>
          <t>Laag</t>
        </is>
      </c>
    </row>
    <row r="16">
      <c r="A16" s="37" t="inlineStr">
        <is>
          <t>Armaturen</t>
        </is>
      </c>
      <c r="B16" s="37" t="inlineStr">
        <is>
          <t>ca. 215</t>
        </is>
      </c>
      <c r="C16" s="37" t="inlineStr">
        <is>
          <t>E.001</t>
        </is>
      </c>
      <c r="D16" s="37" t="inlineStr">
        <is>
          <t>A1 92, E1 16, E2 20, F 8, W 9, H + typische kamers doorgerekend</t>
        </is>
      </c>
      <c r="E16" s="37" t="inlineStr">
        <is>
          <t>Laag</t>
        </is>
      </c>
    </row>
    <row r="17">
      <c r="A17" s="37" t="inlineStr">
        <is>
          <t>Noodverlichting</t>
        </is>
      </c>
      <c r="B17" s="37" t="inlineStr">
        <is>
          <t>ca. 25</t>
        </is>
      </c>
      <c r="C17" s="37" t="inlineStr">
        <is>
          <t>E.001</t>
        </is>
      </c>
      <c r="D17" s="37" t="inlineStr">
        <is>
          <t>11 NV/NV1-punten + pictogrammen</t>
        </is>
      </c>
      <c r="E17" s="37" t="inlineStr">
        <is>
          <t>Laag</t>
        </is>
      </c>
    </row>
    <row r="18">
      <c r="A18" s="37" t="inlineStr">
        <is>
          <t>Wandcontactdozen</t>
        </is>
      </c>
      <c r="B18" s="37" t="inlineStr">
        <is>
          <t>ca. 95</t>
        </is>
      </c>
      <c r="C18" s="37" t="inlineStr">
        <is>
          <t>E.001</t>
        </is>
      </c>
      <c r="D18" s="37" t="inlineStr">
        <is>
          <t>KK, 3O, Alg., WM, DR</t>
        </is>
      </c>
      <c r="E18" s="37" t="inlineStr">
        <is>
          <t>Laag</t>
        </is>
      </c>
    </row>
    <row r="19">
      <c r="A19" s="37" t="inlineStr">
        <is>
          <t>Kooktoestel / afzuigkap-aansluitingen</t>
        </is>
      </c>
      <c r="B19" s="37" t="inlineStr">
        <is>
          <t>7 / 7</t>
        </is>
      </c>
      <c r="C19" s="37" t="inlineStr">
        <is>
          <t>E.001</t>
        </is>
      </c>
      <c r="D19" s="37" t="inlineStr">
        <is>
          <t>KT en AK</t>
        </is>
      </c>
      <c r="E19" s="37" t="inlineStr">
        <is>
          <t>Hoog</t>
        </is>
      </c>
    </row>
    <row r="20">
      <c r="A20" s="37" t="inlineStr">
        <is>
          <t>Data / Wi-Fi</t>
        </is>
      </c>
      <c r="B20" s="37" t="inlineStr">
        <is>
          <t>8 / 12</t>
        </is>
      </c>
      <c r="C20" s="37" t="inlineStr">
        <is>
          <t>E.001</t>
        </is>
      </c>
      <c r="D20" s="37" t="inlineStr">
        <is>
          <t>D en Wi-Fi-codes</t>
        </is>
      </c>
      <c r="E20" s="37" t="inlineStr">
        <is>
          <t>Hoog</t>
        </is>
      </c>
    </row>
    <row r="21">
      <c r="A21" s="37" t="inlineStr">
        <is>
          <t>BMI: handmelders / sirenes / automatische melders</t>
        </is>
      </c>
      <c r="B21" s="37" t="inlineStr">
        <is>
          <t>4 / ca. 35 / ca. 24</t>
        </is>
      </c>
      <c r="C21" s="37" t="inlineStr">
        <is>
          <t>E.001</t>
        </is>
      </c>
      <c r="D21" s="37" t="inlineStr">
        <is>
          <t>HBM; SW-combinaties; R en R/SW</t>
        </is>
      </c>
      <c r="E21" s="37" t="inlineStr">
        <is>
          <t>Middel</t>
        </is>
      </c>
    </row>
    <row r="22">
      <c r="A22" s="37" t="inlineStr">
        <is>
          <t>Kaartlezers / elektrische sluitplaten</t>
        </is>
      </c>
      <c r="B22" s="37" t="inlineStr">
        <is>
          <t>3 / 2</t>
        </is>
      </c>
      <c r="C22" s="37" t="inlineStr">
        <is>
          <t>E.001</t>
        </is>
      </c>
      <c r="D22" s="37" t="inlineStr">
        <is>
          <t>Wijkt af van BBN 3.4.2 (ES per kamerdeur)</t>
        </is>
      </c>
      <c r="E22" s="37" t="inlineStr">
        <is>
          <t>Hoog</t>
        </is>
      </c>
    </row>
    <row r="23">
      <c r="A23" s="37" t="inlineStr">
        <is>
          <t>Nieuwe binnenwanden</t>
        </is>
      </c>
      <c r="B23" s="37" t="inlineStr">
        <is>
          <t>ca. 300 m1</t>
        </is>
      </c>
      <c r="C23" s="37" t="inlineStr">
        <is>
          <t>Afgeleid uit stramien 7,2 m</t>
        </is>
      </c>
      <c r="D23" s="37" t="inlineStr">
        <is>
          <t>Kamers 3,6 m breed; bouwkundige tekeningen ontbreken</t>
        </is>
      </c>
      <c r="E23" s="37" t="inlineStr">
        <is>
          <t>Laag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2026-09-25T20:25:11Z</dcterms:created>
  <dcterms:modified xsi:type="dcterms:W3CDTF">2026-09-25T20:25:11Z</dcterms:modified>
</cp:coreProperties>
</file>