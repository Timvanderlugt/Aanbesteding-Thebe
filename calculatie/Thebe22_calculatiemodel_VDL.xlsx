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elichting" sheetId="1" state="visible" r:id="rId1"/>
    <sheet name="Inschrijfstaat" sheetId="2" state="visible" r:id="rId2"/>
    <sheet name="Begroting" sheetId="3" state="visible" r:id="rId3"/>
    <sheet name="Risicos" sheetId="4" state="visible" r:id="rId4"/>
    <sheet name="Eenheidsprijzen" sheetId="5" state="visible" r:id="rId5"/>
    <sheet name="Optimalisaties" sheetId="6" state="visible" r:id="rId6"/>
    <sheet name="NvI" sheetId="7" state="visible" r:id="rId7"/>
    <sheet name="Componentenboek" sheetId="8" state="visible" r:id="rId8"/>
    <sheet name="Tellingen" sheetId="9" state="visible" r:id="rId9"/>
  </sheets>
  <definedNames>
    <definedName name="_xlnm._FilterDatabase" localSheetId="2" hidden="1">'Begroting'!$A$1:$K$111</definedName>
  </definedNames>
  <calcPr calcId="124519" fullCalcOnLoad="1"/>
</workbook>
</file>

<file path=xl/styles.xml><?xml version="1.0" encoding="utf-8"?>
<styleSheet xmlns="http://schemas.openxmlformats.org/spreadsheetml/2006/main">
  <numFmts count="4">
    <numFmt numFmtId="164" formatCode="#,##0;-#,##0;-"/>
    <numFmt numFmtId="165" formatCode="_ &quot;€&quot; * #,##0.00_ ;_ &quot;€&quot; * -#,##0.00_ ;_ &quot;€&quot; * &quot;-&quot;_ ;_ @_ "/>
    <numFmt numFmtId="166" formatCode="_ &quot;€&quot; * #,##0_ ;_ &quot;€&quot; * -#,##0_ ;_ &quot;€&quot; * &quot;-&quot;_ ;_ @_ "/>
    <numFmt numFmtId="167" formatCode="0.0%"/>
  </numFmts>
  <fonts count="7">
    <font>
      <name val="Calibri"/>
      <family val="2"/>
      <color theme="1"/>
      <sz val="11"/>
      <scheme val="minor"/>
    </font>
    <font>
      <name val="Arial"/>
      <b val="1"/>
      <sz val="14"/>
    </font>
    <font>
      <name val="Arial"/>
      <sz val="10"/>
    </font>
    <font>
      <name val="Arial"/>
      <b val="1"/>
      <sz val="10"/>
    </font>
    <font>
      <name val="Arial"/>
      <b val="1"/>
      <color rgb="00FFFFFF"/>
      <sz val="10"/>
    </font>
    <font>
      <name val="Arial"/>
      <color rgb="000000FF"/>
      <sz val="10"/>
    </font>
    <font>
      <name val="Arial"/>
      <color theme="1"/>
      <sz val="11"/>
    </font>
  </fonts>
  <fills count="7">
    <fill>
      <patternFill/>
    </fill>
    <fill>
      <patternFill patternType="gray125"/>
    </fill>
    <fill>
      <patternFill patternType="solid">
        <fgColor rgb="001F3864"/>
      </patternFill>
    </fill>
    <fill>
      <patternFill patternType="solid">
        <fgColor rgb="00FFFF00"/>
      </patternFill>
    </fill>
    <fill>
      <patternFill patternType="solid">
        <fgColor rgb="00E2EFDA"/>
      </patternFill>
    </fill>
    <fill>
      <patternFill patternType="solid">
        <fgColor rgb="00D9E1F2"/>
      </patternFill>
    </fill>
    <fill>
      <patternFill patternType="solid">
        <fgColor rgb="00FFC0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4" fillId="2" borderId="1" applyAlignment="1" pivotButton="0" quotePrefix="0" xfId="0">
      <alignment wrapText="1"/>
    </xf>
    <xf numFmtId="0" fontId="0" fillId="5" borderId="0" pivotButton="0" quotePrefix="0" xfId="0"/>
    <xf numFmtId="0" fontId="3" fillId="5" borderId="0" pivotButton="0" quotePrefix="0" xfId="0"/>
    <xf numFmtId="166" fontId="3" fillId="5" borderId="0" pivotButton="0" quotePrefix="0" xfId="0"/>
    <xf numFmtId="0" fontId="3" fillId="0" borderId="1" pivotButton="0" quotePrefix="0" xfId="0"/>
    <xf numFmtId="0" fontId="2" fillId="0" borderId="1" pivotButton="0" quotePrefix="0" xfId="0"/>
    <xf numFmtId="0" fontId="0" fillId="0" borderId="1" pivotButton="0" quotePrefix="0" xfId="0"/>
    <xf numFmtId="166" fontId="6" fillId="0" borderId="1" pivotButton="0" quotePrefix="0" xfId="0"/>
    <xf numFmtId="166" fontId="3" fillId="0" borderId="1" pivotButton="0" quotePrefix="0" xfId="0"/>
    <xf numFmtId="10" fontId="5" fillId="3" borderId="1" pivotButton="0" quotePrefix="0" xfId="0"/>
    <xf numFmtId="0" fontId="6" fillId="0" borderId="1" pivotButton="0" quotePrefix="0" xfId="0"/>
    <xf numFmtId="0" fontId="3" fillId="0" borderId="0" pivotButton="0" quotePrefix="0" xfId="0"/>
    <xf numFmtId="166" fontId="3" fillId="6" borderId="0" pivotButton="0" quotePrefix="0" xfId="0"/>
    <xf numFmtId="0" fontId="6" fillId="0" borderId="0" pivotButton="0" quotePrefix="0" xfId="0"/>
    <xf numFmtId="0" fontId="5" fillId="3" borderId="0" pivotButton="0" quotePrefix="0" xfId="0"/>
    <xf numFmtId="166" fontId="6" fillId="0" borderId="0" pivotButton="0" quotePrefix="0" xfId="0"/>
    <xf numFmtId="167" fontId="6" fillId="0"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xf numFmtId="164" fontId="5" fillId="3" borderId="1" applyAlignment="1" pivotButton="0" quotePrefix="0" xfId="0">
      <alignment vertical="top" wrapText="1"/>
    </xf>
    <xf numFmtId="165" fontId="5" fillId="3" borderId="1" applyAlignment="1" pivotButton="0" quotePrefix="0" xfId="0">
      <alignment vertical="top" wrapText="1"/>
    </xf>
    <xf numFmtId="166" fontId="2" fillId="0" borderId="1" applyAlignment="1" pivotButton="0" quotePrefix="0" xfId="0">
      <alignment vertical="top" wrapText="1"/>
    </xf>
    <xf numFmtId="165" fontId="5" fillId="4" borderId="1" applyAlignment="1" pivotButton="0" quotePrefix="0" xfId="0">
      <alignment vertical="top" wrapText="1"/>
    </xf>
    <xf numFmtId="166" fontId="3" fillId="0" borderId="0" pivotButton="0" quotePrefix="0" xfId="0"/>
    <xf numFmtId="9" fontId="5" fillId="3" borderId="1" applyAlignment="1" pivotButton="0" quotePrefix="0" xfId="0">
      <alignment vertical="top" wrapText="1"/>
    </xf>
    <xf numFmtId="166" fontId="5" fillId="3" borderId="1" applyAlignment="1" pivotButton="0" quotePrefix="0" xfId="0">
      <alignment vertical="top" wrapText="1"/>
    </xf>
    <xf numFmtId="0" fontId="5" fillId="3" borderId="1" applyAlignment="1" pivotButton="0" quotePrefix="0" xfId="0">
      <alignment vertical="top" wrapText="1"/>
    </xf>
    <xf numFmtId="0" fontId="2" fillId="0" borderId="0" pivotButton="0" quotePrefix="0" xfId="0"/>
    <xf numFmtId="0" fontId="4" fillId="2" borderId="0" pivotButton="0" quotePrefix="0" xfId="0"/>
    <xf numFmtId="165" fontId="5" fillId="3" borderId="0" pivotButton="0" quotePrefix="0" xfId="0"/>
    <xf numFmtId="0" fontId="6" fillId="0" borderId="0" applyAlignment="1" pivotButton="0" quotePrefix="0" xfId="0">
      <alignment vertical="top" wrapText="1"/>
    </xf>
    <xf numFmtId="166" fontId="5" fillId="3" borderId="0" pivotButton="0" quotePrefix="0" xfId="0"/>
    <xf numFmtId="0" fontId="6" fillId="0" borderId="1" applyAlignment="1" pivotButton="0" quotePrefix="0" xfId="0">
      <alignment vertical="top" wrapText="1"/>
    </xf>
  </cellXfs>
  <cellStyles count="1">
    <cellStyle name="Normal" xfId="0" builtinId="0" hidden="0"/>
  </cellStyles>
  <dxfs count="1">
    <dxf>
      <font>
        <i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Calculatiemodel</author>
  </authors>
  <commentList>
    <comment ref="C31" authorId="0" shapeId="0">
      <text>
        <t>Richtwaarde. Gangbaar in de burgerlijke en utiliteitsbouw: AK circa 6–9%, W&amp;R circa 2–5%, CAR circa 0,15–0,35%. Vervang door uw eigen bedrijfspercentages.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 customWidth="1" min="1" max="1"/>
    <col width="110" customWidth="1" min="2" max="2"/>
  </cols>
  <sheetData>
    <row r="1">
      <c r="B1" s="1" t="inlineStr">
        <is>
          <t>Calculatiemodel Thebe 22 – VDL Bouw &amp; Onderhoud B.V.</t>
        </is>
      </c>
    </row>
    <row r="2">
      <c r="B2" s="2" t="inlineStr">
        <is>
          <t>Renovatie begane grond Thebe 22, Hilversum – meervoudig onderhandse aanbesteding, gunning op laagste prijs. Bedragen excl. BTW, prijspeil 2026.</t>
        </is>
      </c>
    </row>
    <row r="3">
      <c r="B3" s="2" t="inlineStr"/>
    </row>
    <row r="4">
      <c r="B4" s="3" t="inlineStr">
        <is>
          <t>Doel</t>
        </is>
      </c>
    </row>
    <row r="5">
      <c r="B5" s="2" t="inlineStr">
        <is>
          <t>Werkbegroting achter de officiële Inschrijfstaat (Bijlage 2). Het officiële formulier blijft ongewijzigd: het tabblad 'Inschrijfstaat' geeft per regel het bedrag dat u overneemt in de gele cel van het formulier (kolom 'Cel formulier').</t>
        </is>
      </c>
    </row>
    <row r="6">
      <c r="B6" s="2" t="inlineStr"/>
    </row>
    <row r="7">
      <c r="B7" s="3" t="inlineStr">
        <is>
          <t>Hoe te gebruiken</t>
        </is>
      </c>
    </row>
    <row r="8">
      <c r="B8" s="2" t="inlineStr">
        <is>
          <t>1. Tabblad 'Begroting': vul hoeveelheden (kolom F) en eenheidsprijzen (kolom G) in. Blauwe tekst op geel = invoer. Zwarte tekst = formule.</t>
        </is>
      </c>
    </row>
    <row r="9">
      <c r="B9" s="2" t="inlineStr">
        <is>
          <t>2. Vervang elke 'Richtprijs' door de eigen norm of een offerte van een onderaannemer, en zet de status op 'Offerte ontvangen' of 'Eigen norm'.</t>
        </is>
      </c>
    </row>
    <row r="10">
      <c r="B10" s="2" t="inlineStr">
        <is>
          <t>3. Tabblad 'Risicos': kies per risico of u het meeprijst (Ja/Nee). Meegeprijsde risico's gaan als verwachte waarde (kans × impact) naar de genoemde post.</t>
        </is>
      </c>
    </row>
    <row r="11">
      <c r="B11" s="2" t="inlineStr">
        <is>
          <t>4. Tabblad 'Inschrijfstaat': vul de percentages AK, W&amp;R en CAR in. Neem daarna de bedragen over in het formulier en controleer of het totaal gelijk is.</t>
        </is>
      </c>
    </row>
    <row r="12">
      <c r="B12" s="2" t="inlineStr">
        <is>
          <t>5. Tabblad 'Eenheidsprijzen': verrekenprijzen die E&amp;W apart vraagt (isolatieherstel, snoeren). Die passen niet in het formulier: vraag de inkoper waar ze horen.</t>
        </is>
      </c>
    </row>
    <row r="13">
      <c r="B13" s="2" t="inlineStr">
        <is>
          <t>6. Tabblad 'Optimalisaties': optioneel deel onderaan het formulier (tellen niet mee in de gunning).</t>
        </is>
      </c>
    </row>
    <row r="14">
      <c r="B14" s="2" t="inlineStr"/>
    </row>
    <row r="15">
      <c r="B15" s="3" t="inlineStr">
        <is>
          <t>BELANGRIJK – status van de bedragen</t>
        </is>
      </c>
    </row>
    <row r="16">
      <c r="B16" s="2" t="inlineStr">
        <is>
          <t>Alle eenheidsprijzen met status 'Richtprijs' zijn indicatieve marktprijzen (orde van grootte, 2025–2026), NIET gebaseerd op offertes. Ze dienen alleen als startpunt en vergelijkingsmaat. Omdat de gunning op laagste prijs gaat, bepalen de werkelijke offertes van uw onderaannemers de inschrijving.</t>
        </is>
      </c>
    </row>
    <row r="17">
      <c r="B17" s="2" t="inlineStr">
        <is>
          <t>Versie 4 (30-09-2026): bouwkundige Bijlagen 1 t/m 4 verwerkt (vloeroppervlakken, brandscheidingen, extra scope verdiepingen en terrein). Versie 3: antwoorden NvI en componentenboek verwerkt (tabbladen NvI en Componentenboek). Versie 2: installatie-aantallen zijn geteld op de tekeningen E.001, L.0.01-A/B, D.0.01-A/B, T.0.01, T.0.02, R.0.01 en R.-1.01 (zie tabblad 'Tellingen'). De Nota van Inlichtingen van 21-09-2026 is verwerkt (zie tabblad 'NvI'). De bouwkundige tekeningen (BBN bijlage 1 t/m 4) ontbreken nog: wandlengtes en vloeroppervlakken zijn afgeleid uit het stramien van 7,2 m. Tel alles na op DWG.</t>
        </is>
      </c>
    </row>
    <row r="18">
      <c r="B18" s="2" t="inlineStr"/>
    </row>
    <row r="19">
      <c r="B19" s="3" t="inlineStr">
        <is>
          <t>Regels uit de offerteaanvraag die gevolgen hebben voor de prijs</t>
        </is>
      </c>
    </row>
    <row r="20">
      <c r="B20" s="2" t="inlineStr">
        <is>
          <t>• Geen nul- of negatieve bedragen en geen symbolische prijzen. Elke regel in het formulier moet een reëel bedrag hebben (zie controle op het tabblad Inschrijfstaat).</t>
        </is>
      </c>
    </row>
    <row r="21">
      <c r="B21" s="2" t="inlineStr">
        <is>
          <t>• Geen kosten verschuiven tussen posten om het beoordelingsmodel te bespelen (manipulatief inschrijven leidt tot uitsluiting). Zet kosten waar ze thuishoren.</t>
        </is>
      </c>
    </row>
    <row r="22">
      <c r="B22" s="2" t="inlineStr">
        <is>
          <t>• Geen voorbehouden en geen varianten. Een voorbehoud op een eis betekent uitsluiting.</t>
        </is>
      </c>
    </row>
    <row r="23">
      <c r="B23" s="2" t="inlineStr">
        <is>
          <t>• Stelposten staan vast: € 10.000 tijdelijke voorzieningen (E&amp;W 5.1) en € 2.000 Salto-tag (E&amp;W 12.4).</t>
        </is>
      </c>
    </row>
    <row r="24">
      <c r="B24" s="2" t="inlineStr">
        <is>
          <t>• Gestanddoening minimaal 90 dagen. Het prijspeil is 2026 en het werk loopt in Q4 2026, dus geen indexering nodig.</t>
        </is>
      </c>
    </row>
    <row r="25">
      <c r="B25" s="2" t="inlineStr">
        <is>
          <t>• BBN vraagt een open begroting, het formulier niet. Dien alleen het formulier in (de offerteaanvraag zegt: niet afwijken) en houd dit model klaar voor een eventueel verificatiegesprek.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4"/>
  <sheetViews>
    <sheetView workbookViewId="0">
      <pane ySplit="3" topLeftCell="A4" activePane="bottomLeft" state="frozen"/>
      <selection pane="bottomLeft" activeCell="A1" sqref="A1"/>
    </sheetView>
  </sheetViews>
  <sheetFormatPr baseColWidth="8" defaultRowHeight="15"/>
  <cols>
    <col width="12" customWidth="1" min="1" max="1"/>
    <col width="58" customWidth="1" min="2" max="2"/>
    <col width="10" customWidth="1" min="3" max="3"/>
    <col width="15" customWidth="1" min="4" max="4"/>
    <col width="15" customWidth="1" min="5" max="5"/>
    <col width="16" customWidth="1" min="6" max="6"/>
    <col width="40" customWidth="1" min="7" max="7"/>
  </cols>
  <sheetData>
    <row r="1">
      <c r="A1" s="4" t="inlineStr">
        <is>
          <t>Over te nemen in Bijlage 2 – Inschrijfstaat Prijzenformulier (alleen de gele cellen van het formulier)</t>
        </is>
      </c>
    </row>
    <row r="2"/>
    <row r="3">
      <c r="A3" s="5" t="inlineStr">
        <is>
          <t>Cel formulier</t>
        </is>
      </c>
      <c r="B3" s="5" t="inlineStr">
        <is>
          <t>Omschrijving</t>
        </is>
      </c>
      <c r="C3" s="5" t="inlineStr">
        <is>
          <t>%</t>
        </is>
      </c>
      <c r="D3" s="5" t="inlineStr">
        <is>
          <t>Begroting</t>
        </is>
      </c>
      <c r="E3" s="5" t="inlineStr">
        <is>
          <t>Risicos</t>
        </is>
      </c>
      <c r="F3" s="5" t="inlineStr">
        <is>
          <t>Bedrag in formulier</t>
        </is>
      </c>
      <c r="G3" s="5" t="inlineStr">
        <is>
          <t>Controle</t>
        </is>
      </c>
    </row>
    <row r="4">
      <c r="A4" s="6" t="n"/>
      <c r="B4" s="7" t="inlineStr">
        <is>
          <t>Installatietechnische werkzaamheden</t>
        </is>
      </c>
      <c r="C4" s="6" t="n"/>
      <c r="D4" s="6" t="n"/>
      <c r="E4" s="6" t="n"/>
      <c r="F4" s="8">
        <f>SUM(F5:F13)</f>
        <v/>
      </c>
      <c r="G4" s="6" t="n"/>
    </row>
    <row r="5">
      <c r="A5" s="9" t="inlineStr">
        <is>
          <t>E13</t>
        </is>
      </c>
      <c r="B5" s="10" t="inlineStr">
        <is>
          <t>Ruimteverwarming en -koeling</t>
        </is>
      </c>
      <c r="C5" s="11" t="n"/>
      <c r="D5" s="12">
        <f>SUMIFS(Begroting!$H$2:$H$111,Begroting!$A$2:$A$111,13)</f>
        <v/>
      </c>
      <c r="E5" s="12">
        <f>SUMIFS(Risicos!$I$2:$I$17,Risicos!$H$2:$H$17,13)</f>
        <v/>
      </c>
      <c r="F5" s="13">
        <f>ROUND(D5+E5,0)</f>
        <v/>
      </c>
      <c r="G5" s="10">
        <f>IF(F5&lt;=0,"FOUT: nul-bedrag niet toegestaan","ok")</f>
        <v/>
      </c>
    </row>
    <row r="6">
      <c r="A6" s="9" t="inlineStr">
        <is>
          <t>E14</t>
        </is>
      </c>
      <c r="B6" s="10" t="inlineStr">
        <is>
          <t>Warmtapwaterinstallatie</t>
        </is>
      </c>
      <c r="C6" s="11" t="n"/>
      <c r="D6" s="12">
        <f>SUMIFS(Begroting!$H$2:$H$111,Begroting!$A$2:$A$111,14)</f>
        <v/>
      </c>
      <c r="E6" s="12">
        <f>SUMIFS(Risicos!$I$2:$I$17,Risicos!$H$2:$H$17,14)</f>
        <v/>
      </c>
      <c r="F6" s="13">
        <f>ROUND(D6+E6,0)</f>
        <v/>
      </c>
      <c r="G6" s="10">
        <f>IF(F6&lt;=0,"FOUT: nul-bedrag niet toegestaan","ok")</f>
        <v/>
      </c>
    </row>
    <row r="7">
      <c r="A7" s="9" t="inlineStr">
        <is>
          <t>E15</t>
        </is>
      </c>
      <c r="B7" s="10" t="inlineStr">
        <is>
          <t>Luchtbehandelingskast / ventilatie-installatie, incl. kanaalwerk</t>
        </is>
      </c>
      <c r="C7" s="11" t="n"/>
      <c r="D7" s="12">
        <f>SUMIFS(Begroting!$H$2:$H$111,Begroting!$A$2:$A$111,15)</f>
        <v/>
      </c>
      <c r="E7" s="12">
        <f>SUMIFS(Risicos!$I$2:$I$17,Risicos!$H$2:$H$17,15)</f>
        <v/>
      </c>
      <c r="F7" s="13">
        <f>ROUND(D7+E7,0)</f>
        <v/>
      </c>
      <c r="G7" s="10">
        <f>IF(F7&lt;=0,"FOUT: nul-bedrag niet toegestaan","ok")</f>
        <v/>
      </c>
    </row>
    <row r="8">
      <c r="A8" s="9" t="inlineStr">
        <is>
          <t>E16</t>
        </is>
      </c>
      <c r="B8" s="10" t="inlineStr">
        <is>
          <t>Verlichtingsinstallatie</t>
        </is>
      </c>
      <c r="C8" s="11" t="n"/>
      <c r="D8" s="12">
        <f>SUMIFS(Begroting!$H$2:$H$111,Begroting!$A$2:$A$111,16)</f>
        <v/>
      </c>
      <c r="E8" s="12">
        <f>SUMIFS(Risicos!$I$2:$I$17,Risicos!$H$2:$H$17,16)</f>
        <v/>
      </c>
      <c r="F8" s="13">
        <f>ROUND(D8+E8,0)</f>
        <v/>
      </c>
      <c r="G8" s="10">
        <f>IF(F8&lt;=0,"FOUT: nul-bedrag niet toegestaan","ok")</f>
        <v/>
      </c>
    </row>
    <row r="9">
      <c r="A9" s="9" t="inlineStr">
        <is>
          <t>E17</t>
        </is>
      </c>
      <c r="B9" s="10" t="inlineStr">
        <is>
          <t>Centrale elektrotechnische voorzieningen</t>
        </is>
      </c>
      <c r="C9" s="11" t="n"/>
      <c r="D9" s="12">
        <f>SUMIFS(Begroting!$H$2:$H$111,Begroting!$A$2:$A$111,17)</f>
        <v/>
      </c>
      <c r="E9" s="12">
        <f>SUMIFS(Risicos!$I$2:$I$17,Risicos!$H$2:$H$17,17)</f>
        <v/>
      </c>
      <c r="F9" s="13">
        <f>ROUND(D9+E9,0)</f>
        <v/>
      </c>
      <c r="G9" s="10">
        <f>IF(F9&lt;=0,"FOUT: nul-bedrag niet toegestaan","ok")</f>
        <v/>
      </c>
    </row>
    <row r="10">
      <c r="A10" s="9" t="inlineStr">
        <is>
          <t>E18</t>
        </is>
      </c>
      <c r="B10" s="10" t="inlineStr">
        <is>
          <t>Aanpassen regeltechniek</t>
        </is>
      </c>
      <c r="C10" s="11" t="n"/>
      <c r="D10" s="12">
        <f>SUMIFS(Begroting!$H$2:$H$111,Begroting!$A$2:$A$111,18)</f>
        <v/>
      </c>
      <c r="E10" s="12">
        <f>SUMIFS(Risicos!$I$2:$I$17,Risicos!$H$2:$H$17,18)</f>
        <v/>
      </c>
      <c r="F10" s="13">
        <f>ROUND(D10+E10,0)</f>
        <v/>
      </c>
      <c r="G10" s="10">
        <f>IF(F10&lt;=0,"FOUT: nul-bedrag niet toegestaan","ok")</f>
        <v/>
      </c>
    </row>
    <row r="11">
      <c r="A11" s="9" t="inlineStr">
        <is>
          <t>E19</t>
        </is>
      </c>
      <c r="B11" s="10" t="inlineStr">
        <is>
          <t>Communicatievoorzieningen</t>
        </is>
      </c>
      <c r="C11" s="11" t="n"/>
      <c r="D11" s="12">
        <f>SUMIFS(Begroting!$H$2:$H$111,Begroting!$A$2:$A$111,19)</f>
        <v/>
      </c>
      <c r="E11" s="12">
        <f>SUMIFS(Risicos!$I$2:$I$17,Risicos!$H$2:$H$17,19)</f>
        <v/>
      </c>
      <c r="F11" s="13">
        <f>ROUND(D11+E11,0)</f>
        <v/>
      </c>
      <c r="G11" s="10">
        <f>IF(F11&lt;=0,"FOUT: nul-bedrag niet toegestaan","ok")</f>
        <v/>
      </c>
    </row>
    <row r="12">
      <c r="A12" s="9" t="inlineStr">
        <is>
          <t>E20</t>
        </is>
      </c>
      <c r="B12" s="10" t="inlineStr">
        <is>
          <t>Toegangscontrole en beveiliging</t>
        </is>
      </c>
      <c r="C12" s="11" t="n"/>
      <c r="D12" s="12">
        <f>SUMIFS(Begroting!$H$2:$H$111,Begroting!$A$2:$A$111,20)</f>
        <v/>
      </c>
      <c r="E12" s="12">
        <f>SUMIFS(Risicos!$I$2:$I$17,Risicos!$H$2:$H$17,20)</f>
        <v/>
      </c>
      <c r="F12" s="13">
        <f>ROUND(D12+E12,0)</f>
        <v/>
      </c>
      <c r="G12" s="10">
        <f>IF(F12&lt;=0,"FOUT: nul-bedrag niet toegestaan","ok")</f>
        <v/>
      </c>
    </row>
    <row r="13">
      <c r="A13" s="9" t="inlineStr">
        <is>
          <t>E21</t>
        </is>
      </c>
      <c r="B13" s="10" t="inlineStr">
        <is>
          <t>Evt. andere bijkomende kosten (installaties)</t>
        </is>
      </c>
      <c r="C13" s="11" t="n"/>
      <c r="D13" s="12">
        <f>SUMIFS(Begroting!$H$2:$H$111,Begroting!$A$2:$A$111,21)</f>
        <v/>
      </c>
      <c r="E13" s="12">
        <f>SUMIFS(Risicos!$I$2:$I$17,Risicos!$H$2:$H$17,21)</f>
        <v/>
      </c>
      <c r="F13" s="13">
        <f>ROUND(D13+E13,0)</f>
        <v/>
      </c>
      <c r="G13" s="10">
        <f>IF(F13&lt;=0,"FOUT: nul-bedrag niet toegestaan","ok")</f>
        <v/>
      </c>
    </row>
    <row r="14">
      <c r="A14" s="6" t="n"/>
      <c r="B14" s="7" t="inlineStr">
        <is>
          <t>Bouwkundige voorzieningen</t>
        </is>
      </c>
      <c r="C14" s="6" t="n"/>
      <c r="D14" s="6" t="n"/>
      <c r="E14" s="6" t="n"/>
      <c r="F14" s="8">
        <f>SUM(F15:F26)</f>
        <v/>
      </c>
      <c r="G14" s="6" t="n"/>
    </row>
    <row r="15">
      <c r="A15" s="9" t="inlineStr">
        <is>
          <t>E23</t>
        </is>
      </c>
      <c r="B15" s="10" t="inlineStr">
        <is>
          <t>Vervangen kozijnen, ramen en gevelpanelen/-onderdelen</t>
        </is>
      </c>
      <c r="C15" s="11" t="n"/>
      <c r="D15" s="12">
        <f>SUMIFS(Begroting!$H$2:$H$111,Begroting!$A$2:$A$111,23)</f>
        <v/>
      </c>
      <c r="E15" s="12">
        <f>SUMIFS(Risicos!$I$2:$I$17,Risicos!$H$2:$H$17,23)</f>
        <v/>
      </c>
      <c r="F15" s="13">
        <f>ROUND(D15+E15,0)</f>
        <v/>
      </c>
      <c r="G15" s="10">
        <f>IF(F15&lt;=0,"FOUT: nul-bedrag niet toegestaan","ok")</f>
        <v/>
      </c>
    </row>
    <row r="16">
      <c r="A16" s="9" t="inlineStr">
        <is>
          <t>E24</t>
        </is>
      </c>
      <c r="B16" s="10" t="inlineStr">
        <is>
          <t>Vervangen vloerafwerking en plinten</t>
        </is>
      </c>
      <c r="C16" s="11" t="n"/>
      <c r="D16" s="12">
        <f>SUMIFS(Begroting!$H$2:$H$111,Begroting!$A$2:$A$111,24)</f>
        <v/>
      </c>
      <c r="E16" s="12">
        <f>SUMIFS(Risicos!$I$2:$I$17,Risicos!$H$2:$H$17,24)</f>
        <v/>
      </c>
      <c r="F16" s="13">
        <f>ROUND(D16+E16,0)</f>
        <v/>
      </c>
      <c r="G16" s="10">
        <f>IF(F16&lt;=0,"FOUT: nul-bedrag niet toegestaan","ok")</f>
        <v/>
      </c>
    </row>
    <row r="17">
      <c r="A17" s="9" t="inlineStr">
        <is>
          <t>E25</t>
        </is>
      </c>
      <c r="B17" s="10" t="inlineStr">
        <is>
          <t>Aanpassen binnenwanden, -kozijnen en deuren</t>
        </is>
      </c>
      <c r="C17" s="11" t="n"/>
      <c r="D17" s="12">
        <f>SUMIFS(Begroting!$H$2:$H$111,Begroting!$A$2:$A$111,25)</f>
        <v/>
      </c>
      <c r="E17" s="12">
        <f>SUMIFS(Risicos!$I$2:$I$17,Risicos!$H$2:$H$17,25)</f>
        <v/>
      </c>
      <c r="F17" s="13">
        <f>ROUND(D17+E17,0)</f>
        <v/>
      </c>
      <c r="G17" s="10">
        <f>IF(F17&lt;=0,"FOUT: nul-bedrag niet toegestaan","ok")</f>
        <v/>
      </c>
    </row>
    <row r="18">
      <c r="A18" s="9" t="inlineStr">
        <is>
          <t>E26</t>
        </is>
      </c>
      <c r="B18" s="10" t="inlineStr">
        <is>
          <t>Vervangen plafondafwerking</t>
        </is>
      </c>
      <c r="C18" s="11" t="n"/>
      <c r="D18" s="12">
        <f>SUMIFS(Begroting!$H$2:$H$111,Begroting!$A$2:$A$111,26)</f>
        <v/>
      </c>
      <c r="E18" s="12">
        <f>SUMIFS(Risicos!$I$2:$I$17,Risicos!$H$2:$H$17,26)</f>
        <v/>
      </c>
      <c r="F18" s="13">
        <f>ROUND(D18+E18,0)</f>
        <v/>
      </c>
      <c r="G18" s="10">
        <f>IF(F18&lt;=0,"FOUT: nul-bedrag niet toegestaan","ok")</f>
        <v/>
      </c>
    </row>
    <row r="19">
      <c r="A19" s="9" t="inlineStr">
        <is>
          <t>E27</t>
        </is>
      </c>
      <c r="B19" s="10" t="inlineStr">
        <is>
          <t>Aanpassen zonwering</t>
        </is>
      </c>
      <c r="C19" s="11" t="n"/>
      <c r="D19" s="12">
        <f>SUMIFS(Begroting!$H$2:$H$111,Begroting!$A$2:$A$111,27)</f>
        <v/>
      </c>
      <c r="E19" s="12">
        <f>SUMIFS(Risicos!$I$2:$I$17,Risicos!$H$2:$H$17,27)</f>
        <v/>
      </c>
      <c r="F19" s="13">
        <f>ROUND(D19+E19,0)</f>
        <v/>
      </c>
      <c r="G19" s="10">
        <f>IF(F19&lt;=0,"FOUT: nul-bedrag niet toegestaan","ok")</f>
        <v/>
      </c>
    </row>
    <row r="20">
      <c r="A20" s="9" t="inlineStr">
        <is>
          <t>E28</t>
        </is>
      </c>
      <c r="B20" s="10" t="inlineStr">
        <is>
          <t>Realiseren vaste keukenvoorzieningen en pantry's</t>
        </is>
      </c>
      <c r="C20" s="11" t="n"/>
      <c r="D20" s="12">
        <f>SUMIFS(Begroting!$H$2:$H$111,Begroting!$A$2:$A$111,28)</f>
        <v/>
      </c>
      <c r="E20" s="12">
        <f>SUMIFS(Risicos!$I$2:$I$17,Risicos!$H$2:$H$17,28)</f>
        <v/>
      </c>
      <c r="F20" s="13">
        <f>ROUND(D20+E20,0)</f>
        <v/>
      </c>
      <c r="G20" s="10">
        <f>IF(F20&lt;=0,"FOUT: nul-bedrag niet toegestaan","ok")</f>
        <v/>
      </c>
    </row>
    <row r="21">
      <c r="A21" s="9" t="inlineStr">
        <is>
          <t>E29</t>
        </is>
      </c>
      <c r="B21" s="10" t="inlineStr">
        <is>
          <t>Realiseren douchevoorzieningen</t>
        </is>
      </c>
      <c r="C21" s="11" t="n"/>
      <c r="D21" s="12">
        <f>SUMIFS(Begroting!$H$2:$H$111,Begroting!$A$2:$A$111,29)</f>
        <v/>
      </c>
      <c r="E21" s="12">
        <f>SUMIFS(Risicos!$I$2:$I$17,Risicos!$H$2:$H$17,29)</f>
        <v/>
      </c>
      <c r="F21" s="13">
        <f>ROUND(D21+E21,0)</f>
        <v/>
      </c>
      <c r="G21" s="10">
        <f>IF(F21&lt;=0,"FOUT: nul-bedrag niet toegestaan","ok")</f>
        <v/>
      </c>
    </row>
    <row r="22">
      <c r="A22" s="9" t="inlineStr">
        <is>
          <t>E30</t>
        </is>
      </c>
      <c r="B22" s="10" t="inlineStr">
        <is>
          <t>Realiseren hekwerk terrein</t>
        </is>
      </c>
      <c r="C22" s="11" t="n"/>
      <c r="D22" s="12">
        <f>SUMIFS(Begroting!$H$2:$H$111,Begroting!$A$2:$A$111,30)</f>
        <v/>
      </c>
      <c r="E22" s="12">
        <f>SUMIFS(Risicos!$I$2:$I$17,Risicos!$H$2:$H$17,30)</f>
        <v/>
      </c>
      <c r="F22" s="13">
        <f>ROUND(D22+E22,0)</f>
        <v/>
      </c>
      <c r="G22" s="10">
        <f>IF(F22&lt;=0,"FOUT: nul-bedrag niet toegestaan","ok")</f>
        <v/>
      </c>
    </row>
    <row r="23">
      <c r="A23" s="9" t="inlineStr">
        <is>
          <t>E31</t>
        </is>
      </c>
      <c r="B23" s="10" t="inlineStr">
        <is>
          <t>Realiseren entree's, incl. bijbehorende voorzieningen</t>
        </is>
      </c>
      <c r="C23" s="11" t="n"/>
      <c r="D23" s="12">
        <f>SUMIFS(Begroting!$H$2:$H$111,Begroting!$A$2:$A$111,31)</f>
        <v/>
      </c>
      <c r="E23" s="12">
        <f>SUMIFS(Risicos!$I$2:$I$17,Risicos!$H$2:$H$17,31)</f>
        <v/>
      </c>
      <c r="F23" s="13">
        <f>ROUND(D23+E23,0)</f>
        <v/>
      </c>
      <c r="G23" s="10">
        <f>IF(F23&lt;=0,"FOUT: nul-bedrag niet toegestaan","ok")</f>
        <v/>
      </c>
    </row>
    <row r="24">
      <c r="A24" s="9" t="inlineStr">
        <is>
          <t>E32</t>
        </is>
      </c>
      <c r="B24" s="10" t="inlineStr">
        <is>
          <t>Realiseren fietsenstalling</t>
        </is>
      </c>
      <c r="C24" s="11" t="n"/>
      <c r="D24" s="12">
        <f>SUMIFS(Begroting!$H$2:$H$111,Begroting!$A$2:$A$111,32)</f>
        <v/>
      </c>
      <c r="E24" s="12">
        <f>SUMIFS(Risicos!$I$2:$I$17,Risicos!$H$2:$H$17,32)</f>
        <v/>
      </c>
      <c r="F24" s="13">
        <f>ROUND(D24+E24,0)</f>
        <v/>
      </c>
      <c r="G24" s="10" t="inlineStr">
        <is>
          <t>€ 0 conform NvI vraag 3/29 (buiten beschouwing)</t>
        </is>
      </c>
    </row>
    <row r="25">
      <c r="A25" s="9" t="inlineStr">
        <is>
          <t>E33</t>
        </is>
      </c>
      <c r="B25" s="10" t="inlineStr">
        <is>
          <t>Doorvoeringen inbranden voor de installaties</t>
        </is>
      </c>
      <c r="C25" s="11" t="n"/>
      <c r="D25" s="12">
        <f>SUMIFS(Begroting!$H$2:$H$111,Begroting!$A$2:$A$111,33)</f>
        <v/>
      </c>
      <c r="E25" s="12">
        <f>SUMIFS(Risicos!$I$2:$I$17,Risicos!$H$2:$H$17,33)</f>
        <v/>
      </c>
      <c r="F25" s="13">
        <f>ROUND(D25+E25,0)</f>
        <v/>
      </c>
      <c r="G25" s="10">
        <f>IF(F25&lt;=0,"FOUT: nul-bedrag niet toegestaan","ok")</f>
        <v/>
      </c>
    </row>
    <row r="26">
      <c r="A26" s="9" t="inlineStr">
        <is>
          <t>E34</t>
        </is>
      </c>
      <c r="B26" s="10" t="inlineStr">
        <is>
          <t>Evt. andere bijkomende kosten (bouwkundig)</t>
        </is>
      </c>
      <c r="C26" s="11" t="n"/>
      <c r="D26" s="12">
        <f>SUMIFS(Begroting!$H$2:$H$111,Begroting!$A$2:$A$111,34)</f>
        <v/>
      </c>
      <c r="E26" s="12">
        <f>SUMIFS(Risicos!$I$2:$I$17,Risicos!$H$2:$H$17,34)</f>
        <v/>
      </c>
      <c r="F26" s="13">
        <f>ROUND(D26+E26,0)</f>
        <v/>
      </c>
      <c r="G26" s="10">
        <f>IF(F26&lt;=0,"FOUT: nul-bedrag niet toegestaan","ok")</f>
        <v/>
      </c>
    </row>
    <row r="27">
      <c r="A27" s="6" t="n"/>
      <c r="B27" s="7" t="inlineStr">
        <is>
          <t>Overige en bijkomende kosten</t>
        </is>
      </c>
      <c r="C27" s="6" t="n"/>
      <c r="D27" s="6" t="n"/>
      <c r="E27" s="6" t="n"/>
      <c r="F27" s="8">
        <f>F28+F29+F30+F31+F32+F33</f>
        <v/>
      </c>
      <c r="G27" s="6" t="n"/>
    </row>
    <row r="28">
      <c r="A28" s="9" t="inlineStr">
        <is>
          <t>E36</t>
        </is>
      </c>
      <c r="B28" s="10" t="inlineStr">
        <is>
          <t>Engineering en coördinatiekosten</t>
        </is>
      </c>
      <c r="C28" s="11" t="n"/>
      <c r="D28" s="12">
        <f>SUMIFS(Begroting!$H$2:$H$111,Begroting!$A$2:$A$111,36)</f>
        <v/>
      </c>
      <c r="E28" s="12">
        <f>SUMIFS(Risicos!$I$2:$I$17,Risicos!$H$2:$H$17,36)</f>
        <v/>
      </c>
      <c r="F28" s="13">
        <f>ROUND(D28+E28,0)</f>
        <v/>
      </c>
      <c r="G28" s="10">
        <f>IF(F28&lt;=0,"FOUT: nul-bedrag niet toegestaan","ok")</f>
        <v/>
      </c>
    </row>
    <row r="29">
      <c r="A29" s="9" t="inlineStr">
        <is>
          <t>E37</t>
        </is>
      </c>
      <c r="B29" s="10" t="inlineStr">
        <is>
          <t>Revisietekeningen</t>
        </is>
      </c>
      <c r="C29" s="11" t="n"/>
      <c r="D29" s="12">
        <f>SUMIFS(Begroting!$H$2:$H$111,Begroting!$A$2:$A$111,37)</f>
        <v/>
      </c>
      <c r="E29" s="12">
        <f>SUMIFS(Risicos!$I$2:$I$17,Risicos!$H$2:$H$17,37)</f>
        <v/>
      </c>
      <c r="F29" s="13">
        <f>ROUND(D29+E29,0)</f>
        <v/>
      </c>
      <c r="G29" s="10">
        <f>IF(F29&lt;=0,"FOUT: nul-bedrag niet toegestaan","ok")</f>
        <v/>
      </c>
    </row>
    <row r="30">
      <c r="A30" s="9" t="inlineStr">
        <is>
          <t>E38</t>
        </is>
      </c>
      <c r="B30" s="10" t="inlineStr">
        <is>
          <t>Algemene Bouwplaatskosten (ABK)</t>
        </is>
      </c>
      <c r="C30" s="11" t="n"/>
      <c r="D30" s="12">
        <f>SUMIFS(Begroting!$H$2:$H$111,Begroting!$A$2:$A$111,38)</f>
        <v/>
      </c>
      <c r="E30" s="12">
        <f>SUMIFS(Risicos!$I$2:$I$17,Risicos!$H$2:$H$17,38)</f>
        <v/>
      </c>
      <c r="F30" s="13">
        <f>ROUND(D30+E30,0)</f>
        <v/>
      </c>
      <c r="G30" s="10">
        <f>IF(F30&lt;=0,"FOUT: nul-bedrag niet toegestaan","ok")</f>
        <v/>
      </c>
    </row>
    <row r="31">
      <c r="A31" s="9" t="inlineStr">
        <is>
          <t>E39 / D39</t>
        </is>
      </c>
      <c r="B31" s="10" t="inlineStr">
        <is>
          <t>Algemene Kosten (AK) – % over directe kosten incl. ABK</t>
        </is>
      </c>
      <c r="C31" s="14" t="n">
        <v>0.07000000000000001</v>
      </c>
      <c r="D31" s="11" t="n"/>
      <c r="E31" s="11" t="n"/>
      <c r="F31" s="13">
        <f>ROUND(C31*(F4+F14+F28+F29+F30),0)</f>
        <v/>
      </c>
      <c r="G31" s="15">
        <f>IF(F31&lt;=0,"FOUT: nul-bedrag niet toegestaan","ok")</f>
        <v/>
      </c>
    </row>
    <row r="32">
      <c r="A32" s="9" t="inlineStr">
        <is>
          <t>E40 / D40</t>
        </is>
      </c>
      <c r="B32" s="10" t="inlineStr">
        <is>
          <t>Winst en Risico (W&amp;R) – % over directe kosten + AK</t>
        </is>
      </c>
      <c r="C32" s="14" t="n">
        <v>0.03</v>
      </c>
      <c r="D32" s="11" t="n"/>
      <c r="E32" s="11" t="n"/>
      <c r="F32" s="13">
        <f>ROUND(C32*((F4+F14+F28+F29+F30)+F31),0)</f>
        <v/>
      </c>
      <c r="G32" s="15">
        <f>IF(F32&lt;=0,"FOUT: nul-bedrag niet toegestaan","ok")</f>
        <v/>
      </c>
    </row>
    <row r="33">
      <c r="A33" s="9" t="inlineStr">
        <is>
          <t>E41 / D41</t>
        </is>
      </c>
      <c r="B33" s="10" t="inlineStr">
        <is>
          <t>CAR – % over directe kosten + AK + W&amp;R</t>
        </is>
      </c>
      <c r="C33" s="14" t="n">
        <v>0.0025</v>
      </c>
      <c r="D33" s="11" t="n"/>
      <c r="E33" s="11" t="n"/>
      <c r="F33" s="13">
        <f>ROUND(C33*((F4+F14+F28+F29+F30)+F31+F32),0)</f>
        <v/>
      </c>
      <c r="G33" s="15">
        <f>IF(F33&lt;=0,"FOUT: nul-bedrag niet toegestaan","ok")</f>
        <v/>
      </c>
    </row>
    <row r="34"/>
    <row r="35">
      <c r="B35" s="16" t="inlineStr">
        <is>
          <t>Totaal exclusief BTW (= inschrijfbedrag, cel E43 formulier)</t>
        </is>
      </c>
      <c r="F35" s="17">
        <f>F4+F14+F27</f>
        <v/>
      </c>
    </row>
    <row r="36">
      <c r="B36" s="18" t="inlineStr">
        <is>
          <t>Controle: aantal regels met nul-bedrag</t>
        </is>
      </c>
      <c r="F36" s="18">
        <f>COUNTIF(G4:G33,"FOUT*")</f>
        <v/>
      </c>
    </row>
    <row r="37"/>
    <row r="38">
      <c r="B38" s="16" t="inlineStr">
        <is>
          <t>Kengetallen ter controle</t>
        </is>
      </c>
    </row>
    <row r="39">
      <c r="B39" s="18" t="inlineStr">
        <is>
          <t>Verbouwd vloeroppervlak BG (m²) – E&amp;W 4.1.1</t>
        </is>
      </c>
      <c r="C39" s="19" t="n">
        <v>1290</v>
      </c>
    </row>
    <row r="40">
      <c r="B40" s="18" t="inlineStr">
        <is>
          <t>Aantal slaapkamers / eenheden – BBN 2.1</t>
        </is>
      </c>
      <c r="C40" s="19" t="n">
        <v>29</v>
      </c>
    </row>
    <row r="41">
      <c r="B41" s="18" t="inlineStr">
        <is>
          <t>Inschrijfbedrag per m² verbouwd</t>
        </is>
      </c>
      <c r="F41" s="20">
        <f>F35/C39</f>
        <v/>
      </c>
    </row>
    <row r="42">
      <c r="B42" s="18" t="inlineStr">
        <is>
          <t>Inschrijfbedrag per eenheid</t>
        </is>
      </c>
      <c r="F42" s="20">
        <f>F35/C40</f>
        <v/>
      </c>
    </row>
    <row r="43">
      <c r="B43" s="18" t="inlineStr">
        <is>
          <t>Aandeel installaties in directe kosten</t>
        </is>
      </c>
      <c r="F43" s="21">
        <f>F4/(F4+F14+F28+F29+F30)</f>
        <v/>
      </c>
    </row>
    <row r="44">
      <c r="B44" s="18" t="inlineStr">
        <is>
          <t>Aandeel meegeprijsde risico's in totaal</t>
        </is>
      </c>
      <c r="F44" s="21">
        <f>Risicos!I19/F35</f>
        <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1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62" customWidth="1" min="3" max="3"/>
    <col width="20" customWidth="1" min="4" max="4"/>
    <col width="7" customWidth="1" min="5" max="5"/>
    <col width="11" customWidth="1" min="6" max="6"/>
    <col width="13" customWidth="1" min="7" max="7"/>
    <col width="14" customWidth="1" min="8" max="8"/>
    <col width="22" customWidth="1" min="9" max="9"/>
    <col width="22" customWidth="1" min="10" max="10"/>
    <col width="58" customWidth="1" min="11" max="11"/>
  </cols>
  <sheetData>
    <row r="1">
      <c r="A1" s="22" t="inlineStr">
        <is>
          <t>Post</t>
        </is>
      </c>
      <c r="B1" s="22" t="inlineStr">
        <is>
          <t>Inschrijfstaat-regel</t>
        </is>
      </c>
      <c r="C1" s="22" t="inlineStr">
        <is>
          <t>Omschrijving</t>
        </is>
      </c>
      <c r="D1" s="22" t="inlineStr">
        <is>
          <t>Bron (§)</t>
        </is>
      </c>
      <c r="E1" s="22" t="inlineStr">
        <is>
          <t>Eenh.</t>
        </is>
      </c>
      <c r="F1" s="22" t="inlineStr">
        <is>
          <t>Hoeveelheid</t>
        </is>
      </c>
      <c r="G1" s="22" t="inlineStr">
        <is>
          <t>Eenheidsprijs</t>
        </is>
      </c>
      <c r="H1" s="22" t="inlineStr">
        <is>
          <t>Bedrag</t>
        </is>
      </c>
      <c r="I1" s="22" t="inlineStr">
        <is>
          <t>Uitvoering</t>
        </is>
      </c>
      <c r="J1" s="22" t="inlineStr">
        <is>
          <t>Status prijs</t>
        </is>
      </c>
      <c r="K1" s="22" t="inlineStr">
        <is>
          <t>Opmerking / aandachtspunt</t>
        </is>
      </c>
    </row>
    <row r="2">
      <c r="A2" s="23" t="n">
        <v>13</v>
      </c>
      <c r="B2" s="23" t="inlineStr">
        <is>
          <t>Ruimteverwarming en -koeling</t>
        </is>
      </c>
      <c r="C2" s="23" t="inlineStr">
        <is>
          <t>Nieuwe ventilatorconvector CIAT Major MAJ2 430, incl. 4 aftakkingen hoofdtracé, drukgecomp. regelafsluiter, afsluiters, Raminex-flex, isolatie</t>
        </is>
      </c>
      <c r="D2" s="23" t="inlineStr">
        <is>
          <t>E&amp;W 7.1/7.4.2</t>
        </is>
      </c>
      <c r="E2" s="23" t="inlineStr">
        <is>
          <t>st</t>
        </is>
      </c>
      <c r="F2" s="24" t="n">
        <v>5</v>
      </c>
      <c r="G2" s="25" t="n">
        <v>4200</v>
      </c>
      <c r="H2" s="26">
        <f>F2*G2</f>
        <v/>
      </c>
      <c r="I2" s="23" t="inlineStr">
        <is>
          <t>OA W-installateur</t>
        </is>
      </c>
      <c r="J2" s="23" t="inlineStr">
        <is>
          <t>Richtprijs</t>
        </is>
      </c>
      <c r="K2" s="23" t="inlineStr">
        <is>
          <t>Telling L.0.01-A/B: 34 fancoils nodig (29 kamers + 3 keuken 0.24 + 1 keuken 0.64 + 1 personeelsruimte 0.73); D.0.01-A/B toont 29 bestaande → 5 nieuw. Bouwgrootte: grootste aanhouden (E&amp;W 7.4.2)</t>
        </is>
      </c>
    </row>
    <row r="3">
      <c r="A3" s="23" t="n">
        <v>13</v>
      </c>
      <c r="B3" s="23" t="inlineStr">
        <is>
          <t>Ruimteverwarming en -koeling</t>
        </is>
      </c>
      <c r="C3" s="23" t="inlineStr">
        <is>
          <t>Bestaande ventilatorconvector demonteren en in zelfde ruimte terugplaatsen, incl. nieuwe regel-/inregelafsluiters</t>
        </is>
      </c>
      <c r="D3" s="23" t="inlineStr">
        <is>
          <t>E&amp;W 5.7/7.1</t>
        </is>
      </c>
      <c r="E3" s="23" t="inlineStr">
        <is>
          <t>st</t>
        </is>
      </c>
      <c r="F3" s="24" t="n">
        <v>29</v>
      </c>
      <c r="G3" s="25" t="n">
        <v>1400</v>
      </c>
      <c r="H3" s="26">
        <f>F3*G3</f>
        <v/>
      </c>
      <c r="I3" s="23" t="inlineStr">
        <is>
          <t>OA W-installateur</t>
        </is>
      </c>
      <c r="J3" s="23" t="inlineStr">
        <is>
          <t>Richtprijs</t>
        </is>
      </c>
      <c r="K3" s="23" t="inlineStr">
        <is>
          <t>29 bestaande fancoils volgens demontagetekeningen D.0.01-A (19) en D.0.01-B (10)</t>
        </is>
      </c>
    </row>
    <row r="4">
      <c r="A4" s="23" t="n">
        <v>13</v>
      </c>
      <c r="B4" s="23" t="inlineStr">
        <is>
          <t>Ruimteverwarming en -koeling</t>
        </is>
      </c>
      <c r="C4" s="23" t="inlineStr">
        <is>
          <t>Kanaalverwarmer/-koeler 4-pijps (ruimten 0.04, 0.05, 0.44, 0.45, 0.62, 0.63)</t>
        </is>
      </c>
      <c r="D4" s="23" t="inlineStr">
        <is>
          <t>E&amp;W 7.1</t>
        </is>
      </c>
      <c r="E4" s="23" t="inlineStr">
        <is>
          <t>st</t>
        </is>
      </c>
      <c r="F4" s="24" t="n">
        <v>6</v>
      </c>
      <c r="G4" s="25" t="n">
        <v>2800</v>
      </c>
      <c r="H4" s="26">
        <f>F4*G4</f>
        <v/>
      </c>
      <c r="I4" s="23" t="inlineStr">
        <is>
          <t>OA W-installateur</t>
        </is>
      </c>
      <c r="J4" s="23" t="inlineStr">
        <is>
          <t>Richtprijs</t>
        </is>
      </c>
      <c r="K4" s="23" t="inlineStr">
        <is>
          <t>7.1 noemt 6 ruimten, 7.4.2 noemt er 5 (0.63 ontbreekt) – 6 aangehouden</t>
        </is>
      </c>
    </row>
    <row r="5">
      <c r="A5" s="23" t="n">
        <v>13</v>
      </c>
      <c r="B5" s="23" t="inlineStr">
        <is>
          <t>Ruimteverwarming en -koeling</t>
        </is>
      </c>
      <c r="C5" s="23" t="inlineStr">
        <is>
          <t>Ruimtethermostaat CIAT incl. inbouw in brandwerende wand</t>
        </is>
      </c>
      <c r="D5" s="23" t="inlineStr">
        <is>
          <t>E&amp;W 9.2.3 / Componentenboek nr. 24</t>
        </is>
      </c>
      <c r="E5" s="23" t="inlineStr">
        <is>
          <t>st</t>
        </is>
      </c>
      <c r="F5" s="24" t="n">
        <v>40</v>
      </c>
      <c r="G5" s="25" t="n">
        <v>190</v>
      </c>
      <c r="H5" s="26">
        <f>F5*G5</f>
        <v/>
      </c>
      <c r="I5" s="23" t="inlineStr">
        <is>
          <t>OA W-installateur</t>
        </is>
      </c>
      <c r="J5" s="23" t="inlineStr">
        <is>
          <t>Richtprijs</t>
        </is>
      </c>
      <c r="K5" s="23" t="inlineStr">
        <is>
          <t>Type-conflict: E&amp;W 99DAsei, componentenboek RTR-E 7203. Gelijk aan verdiepingen aanhouden</t>
        </is>
      </c>
    </row>
    <row r="6">
      <c r="A6" s="23" t="n">
        <v>13</v>
      </c>
      <c r="B6" s="23" t="inlineStr">
        <is>
          <t>Ruimteverwarming en -koeling</t>
        </is>
      </c>
      <c r="C6" s="23" t="inlineStr">
        <is>
          <t>Vloerverwarming: IR-scan, revisietekening, groepen douchezones dichtzetten, PvA</t>
        </is>
      </c>
      <c r="D6" s="23" t="inlineStr">
        <is>
          <t>E&amp;W 7.3 / BBN 3.2.1</t>
        </is>
      </c>
      <c r="E6" s="23" t="inlineStr">
        <is>
          <t>post</t>
        </is>
      </c>
      <c r="F6" s="24" t="n">
        <v>1</v>
      </c>
      <c r="G6" s="25" t="n">
        <v>6500</v>
      </c>
      <c r="H6" s="26">
        <f>F6*G6</f>
        <v/>
      </c>
      <c r="I6" s="23" t="inlineStr">
        <is>
          <t>OA W-installateur</t>
        </is>
      </c>
      <c r="J6" s="23" t="inlineStr">
        <is>
          <t>Richtprijs</t>
        </is>
      </c>
      <c r="K6" s="23" t="inlineStr">
        <is>
          <t>PvA vloerverwarming is verplicht onderdeel van de aanbieding!</t>
        </is>
      </c>
    </row>
    <row r="7">
      <c r="A7" s="23" t="n">
        <v>13</v>
      </c>
      <c r="B7" s="23" t="inlineStr">
        <is>
          <t>Ruimteverwarming en -koeling</t>
        </is>
      </c>
      <c r="C7" s="23" t="inlineStr">
        <is>
          <t>Waterzijdig inregelen CV/GKW BG + rapport met debiet per bouwlaag (Delta-P)</t>
        </is>
      </c>
      <c r="D7" s="23" t="inlineStr">
        <is>
          <t>E&amp;W 4.2.2/7.5</t>
        </is>
      </c>
      <c r="E7" s="23" t="inlineStr">
        <is>
          <t>post</t>
        </is>
      </c>
      <c r="F7" s="24" t="n">
        <v>1</v>
      </c>
      <c r="G7" s="25" t="n">
        <v>7500</v>
      </c>
      <c r="H7" s="26">
        <f>F7*G7</f>
        <v/>
      </c>
      <c r="I7" s="23" t="inlineStr">
        <is>
          <t>Delta-P (voorgeschreven)</t>
        </is>
      </c>
      <c r="J7" s="23" t="inlineStr">
        <is>
          <t>Offerte aanvragen</t>
        </is>
      </c>
      <c r="K7" s="23" t="inlineStr">
        <is>
          <t>Delta-P is voorgeschreven: offerte opvragen</t>
        </is>
      </c>
    </row>
    <row r="8">
      <c r="A8" s="23" t="n">
        <v>13</v>
      </c>
      <c r="B8" s="23" t="inlineStr">
        <is>
          <t>Ruimteverwarming en -koeling</t>
        </is>
      </c>
      <c r="C8" s="23" t="inlineStr">
        <is>
          <t>Condensafvoeren ventilatorconvectoren met sifon op VWA-stelsel</t>
        </is>
      </c>
      <c r="D8" s="23" t="inlineStr">
        <is>
          <t>E&amp;W 6.1.1</t>
        </is>
      </c>
      <c r="E8" s="23" t="inlineStr">
        <is>
          <t>st</t>
        </is>
      </c>
      <c r="F8" s="24" t="n">
        <v>40</v>
      </c>
      <c r="G8" s="25" t="n">
        <v>220</v>
      </c>
      <c r="H8" s="26">
        <f>F8*G8</f>
        <v/>
      </c>
      <c r="I8" s="23" t="inlineStr">
        <is>
          <t>OA W-installateur</t>
        </is>
      </c>
      <c r="J8" s="23" t="inlineStr">
        <is>
          <t>Richtprijs</t>
        </is>
      </c>
      <c r="K8" s="23" t="inlineStr">
        <is>
          <t>34 fancoils + 6 kanaalverwarmers</t>
        </is>
      </c>
    </row>
    <row r="9">
      <c r="A9" s="23" t="n">
        <v>14</v>
      </c>
      <c r="B9" s="23" t="inlineStr">
        <is>
          <t>Warmtapwaterinstallatie</t>
        </is>
      </c>
      <c r="C9" s="23" t="inlineStr">
        <is>
          <t>Nieuwe deelring warmtapwater-circulatie BG + koudwaterstelsel boven plafond (koper, pers), afsluiters per strang, isolatie</t>
        </is>
      </c>
      <c r="D9" s="23" t="inlineStr">
        <is>
          <t>E&amp;W 6.2.4</t>
        </is>
      </c>
      <c r="E9" s="23" t="inlineStr">
        <is>
          <t>post</t>
        </is>
      </c>
      <c r="F9" s="24" t="n">
        <v>1</v>
      </c>
      <c r="G9" s="25" t="n">
        <v>19500</v>
      </c>
      <c r="H9" s="26">
        <f>F9*G9</f>
        <v/>
      </c>
      <c r="I9" s="23" t="inlineStr">
        <is>
          <t>OA W-installateur</t>
        </is>
      </c>
      <c r="J9" s="23" t="inlineStr">
        <is>
          <t>Richtprijs</t>
        </is>
      </c>
      <c r="K9" s="23" t="inlineStr">
        <is>
          <t>Aftakken vanaf schacht noord/midden/zuid; MMV-tapwaterberekening</t>
        </is>
      </c>
    </row>
    <row r="10">
      <c r="A10" s="23" t="n">
        <v>14</v>
      </c>
      <c r="B10" s="23" t="inlineStr">
        <is>
          <t>Warmtapwaterinstallatie</t>
        </is>
      </c>
      <c r="C10" s="23" t="inlineStr">
        <is>
          <t>Douche-aansluiting warm/koud incl. afvoer en RVS-afvoerput Aquaberg 4815 (0.37, 0.42, 0.70, 0.71)</t>
        </is>
      </c>
      <c r="D10" s="23" t="inlineStr">
        <is>
          <t>E&amp;W 6.1/6.2 + T.0.01 + Componentenboek nr. 6</t>
        </is>
      </c>
      <c r="E10" s="23" t="inlineStr">
        <is>
          <t>st</t>
        </is>
      </c>
      <c r="F10" s="24" t="n">
        <v>10</v>
      </c>
      <c r="G10" s="25" t="n">
        <v>1600</v>
      </c>
      <c r="H10" s="26">
        <f>F10*G10</f>
        <v/>
      </c>
      <c r="I10" s="23" t="inlineStr">
        <is>
          <t>OA W-installateur</t>
        </is>
      </c>
      <c r="J10" s="23" t="inlineStr">
        <is>
          <t>Richtprijs</t>
        </is>
      </c>
      <c r="K10" s="23" t="inlineStr">
        <is>
          <t>T.0.01: 4 douches 0.42 + 4 douches 0.37 + 2 (0.70/0.71). 0.37 staat niet in de E&amp;W-tekst</t>
        </is>
      </c>
    </row>
    <row r="11">
      <c r="A11" s="23" t="n">
        <v>14</v>
      </c>
      <c r="B11" s="23" t="inlineStr">
        <is>
          <t>Warmtapwaterinstallatie</t>
        </is>
      </c>
      <c r="C11" s="23" t="inlineStr">
        <is>
          <t>De Melker M-Check douchepaneel MC.501229 (thermostaat, piëzo, tijdsbegrenzing, spoelfunctie) per douche</t>
        </is>
      </c>
      <c r="D11" s="23" t="inlineStr">
        <is>
          <t>E&amp;W 6.2.1/9.3 + Componentenboek nr. 4</t>
        </is>
      </c>
      <c r="E11" s="23" t="inlineStr">
        <is>
          <t>st</t>
        </is>
      </c>
      <c r="F11" s="24" t="n">
        <v>10</v>
      </c>
      <c r="G11" s="25" t="n">
        <v>1450</v>
      </c>
      <c r="H11" s="26">
        <f>F11*G11</f>
        <v/>
      </c>
      <c r="I11" s="23" t="inlineStr">
        <is>
          <t>OA W-installateur</t>
        </is>
      </c>
      <c r="J11" s="23" t="inlineStr">
        <is>
          <t>Offerte aanvragen</t>
        </is>
      </c>
      <c r="K11" s="23" t="inlineStr">
        <is>
          <t>Voorgeschreven fabricaat; 10 douches volgens T.0.01</t>
        </is>
      </c>
    </row>
    <row r="12">
      <c r="A12" s="23" t="n">
        <v>14</v>
      </c>
      <c r="B12" s="23" t="inlineStr">
        <is>
          <t>Warmtapwaterinstallatie</t>
        </is>
      </c>
      <c r="C12" s="23" t="inlineStr">
        <is>
          <t>M-Check centrale regelmodule / samenvoeging zones</t>
        </is>
      </c>
      <c r="D12" s="23" t="inlineStr">
        <is>
          <t>E&amp;W 9.3.3</t>
        </is>
      </c>
      <c r="E12" s="23" t="inlineStr">
        <is>
          <t>st</t>
        </is>
      </c>
      <c r="F12" s="24" t="n">
        <v>1</v>
      </c>
      <c r="G12" s="25" t="n">
        <v>2500</v>
      </c>
      <c r="H12" s="26">
        <f>F12*G12</f>
        <v/>
      </c>
      <c r="I12" s="23" t="inlineStr">
        <is>
          <t>OA W-installateur</t>
        </is>
      </c>
      <c r="J12" s="23" t="inlineStr">
        <is>
          <t>Offerte aanvragen</t>
        </is>
      </c>
      <c r="K12" s="23" t="inlineStr"/>
    </row>
    <row r="13">
      <c r="A13" s="23" t="n">
        <v>14</v>
      </c>
      <c r="B13" s="23" t="inlineStr">
        <is>
          <t>Warmtapwaterinstallatie</t>
        </is>
      </c>
      <c r="C13" s="23" t="inlineStr">
        <is>
          <t>Wastrog Intersan Sanilav 3.0 RVS 1200 mm incl. kranen en aansluiting (0.37 en 0.42)</t>
        </is>
      </c>
      <c r="D13" s="23" t="inlineStr">
        <is>
          <t>Componentenboek nr. 5 + T.0.01</t>
        </is>
      </c>
      <c r="E13" s="23" t="inlineStr">
        <is>
          <t>st</t>
        </is>
      </c>
      <c r="F13" s="24" t="n">
        <v>4</v>
      </c>
      <c r="G13" s="25" t="n">
        <v>2100</v>
      </c>
      <c r="H13" s="26">
        <f>F13*G13</f>
        <v/>
      </c>
      <c r="I13" s="23" t="inlineStr">
        <is>
          <t>OA W-installateur</t>
        </is>
      </c>
      <c r="J13" s="23" t="inlineStr">
        <is>
          <t>Offerte aanvragen</t>
        </is>
      </c>
      <c r="K13" s="23" t="inlineStr">
        <is>
          <t>T.0.01: 8 tappunten → 4 wastroggen van 2 tappunten (aanname); fabricaat volgens componentenboek</t>
        </is>
      </c>
    </row>
    <row r="14">
      <c r="A14" s="23" t="n">
        <v>14</v>
      </c>
      <c r="B14" s="23" t="inlineStr">
        <is>
          <t>Warmtapwaterinstallatie</t>
        </is>
      </c>
      <c r="C14" s="23" t="inlineStr">
        <is>
          <t>MIVA-toiletruimte 0.72: wandcloset Geberit 300 comfort verlengd + Duofix + Linido steunen, MIVA-wastafel Geberit 300 comfort + Hansgrohe Care</t>
        </is>
      </c>
      <c r="D14" s="23" t="inlineStr">
        <is>
          <t>Componentenboek nr. 9/11 + T.0.01 (WC-02/WT-02)</t>
        </is>
      </c>
      <c r="E14" s="23" t="inlineStr">
        <is>
          <t>post</t>
        </is>
      </c>
      <c r="F14" s="24" t="n">
        <v>1</v>
      </c>
      <c r="G14" s="25" t="n">
        <v>2900</v>
      </c>
      <c r="H14" s="26">
        <f>F14*G14</f>
        <v/>
      </c>
      <c r="I14" s="23" t="inlineStr">
        <is>
          <t>OA W-installateur</t>
        </is>
      </c>
      <c r="J14" s="23" t="inlineStr">
        <is>
          <t>Offerte aanvragen</t>
        </is>
      </c>
      <c r="K14" s="23" t="inlineStr">
        <is>
          <t>WC-02/WT-02 op T.0.01; uitvoering volgens componentenboek</t>
        </is>
      </c>
    </row>
    <row r="15">
      <c r="A15" s="23" t="n">
        <v>14</v>
      </c>
      <c r="B15" s="23" t="inlineStr">
        <is>
          <t>Warmtapwaterinstallatie</t>
        </is>
      </c>
      <c r="C15" s="23" t="inlineStr">
        <is>
          <t>Aansluiten tappunten aanrechten 0.24 (3), 0.64 (3) en pantry 0.01 (1) (warm/koud + afvoer; 0.24 via nieuw tracé naar vetafscheider)</t>
        </is>
      </c>
      <c r="D15" s="23" t="inlineStr">
        <is>
          <t>E&amp;W 6.1.1 + T.0.01</t>
        </is>
      </c>
      <c r="E15" s="23" t="inlineStr">
        <is>
          <t>st</t>
        </is>
      </c>
      <c r="F15" s="24" t="n">
        <v>7</v>
      </c>
      <c r="G15" s="25" t="n">
        <v>950</v>
      </c>
      <c r="H15" s="26">
        <f>F15*G15</f>
        <v/>
      </c>
      <c r="I15" s="23" t="inlineStr">
        <is>
          <t>OA W-installateur</t>
        </is>
      </c>
      <c r="J15" s="23" t="inlineStr">
        <is>
          <t>Richtprijs</t>
        </is>
      </c>
      <c r="K15" s="23" t="inlineStr"/>
    </row>
    <row r="16">
      <c r="A16" s="23" t="n">
        <v>14</v>
      </c>
      <c r="B16" s="23" t="inlineStr">
        <is>
          <t>Warmtapwaterinstallatie</t>
        </is>
      </c>
      <c r="C16" s="23" t="inlineStr">
        <is>
          <t>Wasmachine-aansluitingen 0.57 incl. nieuwe afvoer (boren i.c.m. vloerverwarming)</t>
        </is>
      </c>
      <c r="D16" s="23" t="inlineStr">
        <is>
          <t>E&amp;W 6.1.1</t>
        </is>
      </c>
      <c r="E16" s="23" t="inlineStr">
        <is>
          <t>st</t>
        </is>
      </c>
      <c r="F16" s="24" t="n">
        <v>4</v>
      </c>
      <c r="G16" s="25" t="n">
        <v>1150</v>
      </c>
      <c r="H16" s="26">
        <f>F16*G16</f>
        <v/>
      </c>
      <c r="I16" s="23" t="inlineStr">
        <is>
          <t>OA W-installateur</t>
        </is>
      </c>
      <c r="J16" s="23" t="inlineStr">
        <is>
          <t>Richtprijs</t>
        </is>
      </c>
      <c r="K16" s="23" t="inlineStr">
        <is>
          <t>Aantal wasmachines uittellen</t>
        </is>
      </c>
    </row>
    <row r="17">
      <c r="A17" s="23" t="n">
        <v>14</v>
      </c>
      <c r="B17" s="23" t="inlineStr">
        <is>
          <t>Warmtapwaterinstallatie</t>
        </is>
      </c>
      <c r="C17" s="23" t="inlineStr">
        <is>
          <t>2 standaard wandclosets 0.66/0.67 (vervangen kinderclosets, aansluitingen hergebruiken) + demonteren/afdoppen kinderclosets 0.70/0.71</t>
        </is>
      </c>
      <c r="D17" s="23" t="inlineStr">
        <is>
          <t>E&amp;W 5.4/5.5 + NvI vraag 30</t>
        </is>
      </c>
      <c r="E17" s="23" t="inlineStr">
        <is>
          <t>post</t>
        </is>
      </c>
      <c r="F17" s="24" t="n">
        <v>1</v>
      </c>
      <c r="G17" s="25" t="n">
        <v>4000</v>
      </c>
      <c r="H17" s="26">
        <f>F17*G17</f>
        <v/>
      </c>
      <c r="I17" s="23" t="inlineStr">
        <is>
          <t>OA W-installateur</t>
        </is>
      </c>
      <c r="J17" s="23" t="inlineStr">
        <is>
          <t>Richtprijs</t>
        </is>
      </c>
      <c r="K17" s="23" t="inlineStr">
        <is>
          <t>NvI vraag 30: het nieuwe sanitair betreft 2 standaard wandclosets</t>
        </is>
      </c>
    </row>
    <row r="18">
      <c r="A18" s="23" t="n">
        <v>14</v>
      </c>
      <c r="B18" s="23" t="inlineStr">
        <is>
          <t>Warmtapwaterinstallatie</t>
        </is>
      </c>
      <c r="C18" s="23" t="inlineStr">
        <is>
          <t>Uitbreiding VWA-stelsel: ca. 40 m PVC in plafond parkeergarage (R.-1.01) + ca. 12 vloerdoorboringen, Dyka Sono in plafonds, brandmanchetten</t>
        </is>
      </c>
      <c r="D18" s="23" t="inlineStr">
        <is>
          <t>E&amp;W 6.1.3 + R.-1.01/R.0.01</t>
        </is>
      </c>
      <c r="E18" s="23" t="inlineStr">
        <is>
          <t>post</t>
        </is>
      </c>
      <c r="F18" s="24" t="n">
        <v>1</v>
      </c>
      <c r="G18" s="25" t="n">
        <v>16000</v>
      </c>
      <c r="H18" s="26">
        <f>F18*G18</f>
        <v/>
      </c>
      <c r="I18" s="23" t="inlineStr">
        <is>
          <t>OA W-installateur</t>
        </is>
      </c>
      <c r="J18" s="23" t="inlineStr">
        <is>
          <t>Richtprijs</t>
        </is>
      </c>
      <c r="K18" s="23" t="inlineStr">
        <is>
          <t>R.-1.01: nieuwe leiding in kelder naar vetafscheider. Kernboringen door BG-vloer met vloerverwarming</t>
        </is>
      </c>
    </row>
    <row r="19">
      <c r="A19" s="23" t="n">
        <v>14</v>
      </c>
      <c r="B19" s="23" t="inlineStr">
        <is>
          <t>Warmtapwaterinstallatie</t>
        </is>
      </c>
      <c r="C19" s="23" t="inlineStr">
        <is>
          <t>Afpersen, spoelen, legionellabemonstering + vrijverklaring</t>
        </is>
      </c>
      <c r="D19" s="23" t="inlineStr">
        <is>
          <t>E&amp;W 6.2.5</t>
        </is>
      </c>
      <c r="E19" s="23" t="inlineStr">
        <is>
          <t>post</t>
        </is>
      </c>
      <c r="F19" s="24" t="n">
        <v>1</v>
      </c>
      <c r="G19" s="25" t="n">
        <v>1500</v>
      </c>
      <c r="H19" s="26">
        <f>F19*G19</f>
        <v/>
      </c>
      <c r="I19" s="23" t="inlineStr">
        <is>
          <t>OA W-installateur</t>
        </is>
      </c>
      <c r="J19" s="23" t="inlineStr">
        <is>
          <t>Richtprijs</t>
        </is>
      </c>
      <c r="K19" s="23" t="inlineStr"/>
    </row>
    <row r="20">
      <c r="A20" s="23" t="n">
        <v>15</v>
      </c>
      <c r="B20" s="23" t="inlineStr">
        <is>
          <t>Luchtbehandelingskast / ventilatie-installatie, incl. kanaalwerk</t>
        </is>
      </c>
      <c r="C20" s="23" t="inlineStr">
        <is>
          <t>Demontage kanalen, roosters en appendages BG conform demontagetekeningen, afplakken kanaalsysteem</t>
        </is>
      </c>
      <c r="D20" s="23" t="inlineStr">
        <is>
          <t>E&amp;W 5.8</t>
        </is>
      </c>
      <c r="E20" s="23" t="inlineStr">
        <is>
          <t>post</t>
        </is>
      </c>
      <c r="F20" s="24" t="n">
        <v>1</v>
      </c>
      <c r="G20" s="25" t="n">
        <v>6500</v>
      </c>
      <c r="H20" s="26">
        <f>F20*G20</f>
        <v/>
      </c>
      <c r="I20" s="23" t="inlineStr">
        <is>
          <t>OA W-installateur</t>
        </is>
      </c>
      <c r="J20" s="23" t="inlineStr">
        <is>
          <t>Richtprijs</t>
        </is>
      </c>
      <c r="K20" s="23" t="inlineStr"/>
    </row>
    <row r="21">
      <c r="A21" s="23" t="n">
        <v>15</v>
      </c>
      <c r="B21" s="23" t="inlineStr">
        <is>
          <t>Luchtbehandelingskast / ventilatie-installatie, incl. kanaalwerk</t>
        </is>
      </c>
      <c r="C21" s="23" t="inlineStr">
        <is>
          <t>Nieuw kanalenstelsel verzinkt klasse C vanaf schachtuittrede, per ruimte (toevoer + retour/overstroom), incl. isolatie toevoer</t>
        </is>
      </c>
      <c r="D21" s="23" t="inlineStr">
        <is>
          <t>E&amp;W 8.1/8.4.5/8.7</t>
        </is>
      </c>
      <c r="E21" s="23" t="inlineStr">
        <is>
          <t>ruimte</t>
        </is>
      </c>
      <c r="F21" s="24" t="n">
        <v>40</v>
      </c>
      <c r="G21" s="25" t="n">
        <v>1350</v>
      </c>
      <c r="H21" s="26">
        <f>F21*G21</f>
        <v/>
      </c>
      <c r="I21" s="23" t="inlineStr">
        <is>
          <t>OA W-installateur</t>
        </is>
      </c>
      <c r="J21" s="23" t="inlineStr">
        <is>
          <t>Richtprijs</t>
        </is>
      </c>
      <c r="K21" s="23" t="inlineStr">
        <is>
          <t>L.0.01-A/B: 29 kamers + keukens, personeelsruimte, gespreksruimten, badruimten</t>
        </is>
      </c>
    </row>
    <row r="22">
      <c r="A22" s="23" t="n">
        <v>15</v>
      </c>
      <c r="B22" s="23" t="inlineStr">
        <is>
          <t>Luchtbehandelingskast / ventilatie-installatie, incl. kanaalwerk</t>
        </is>
      </c>
      <c r="C22" s="23" t="inlineStr">
        <is>
          <t>Brandklep Solid Air FDC motorbediend 24V veerteruggang (toevoer + retour per kamerwand)</t>
        </is>
      </c>
      <c r="D22" s="23" t="inlineStr">
        <is>
          <t>E&amp;W 8.4.2/9.4</t>
        </is>
      </c>
      <c r="E22" s="23" t="inlineStr">
        <is>
          <t>st</t>
        </is>
      </c>
      <c r="F22" s="24" t="n">
        <v>64</v>
      </c>
      <c r="G22" s="25" t="n">
        <v>780</v>
      </c>
      <c r="H22" s="26">
        <f>F22*G22</f>
        <v/>
      </c>
      <c r="I22" s="23" t="inlineStr">
        <is>
          <t>OA W-installateur</t>
        </is>
      </c>
      <c r="J22" s="23" t="inlineStr">
        <is>
          <t>Offerte aanvragen</t>
        </is>
      </c>
      <c r="K22" s="23" t="inlineStr">
        <is>
          <t>L.0.01 + E.001: 2 per kamer = 58, plus ca. 6 in 60-min scheidingen. Componentenboek nr. 21: FDC25 24V DC (typeconflict E&amp;W opgelost)</t>
        </is>
      </c>
    </row>
    <row r="23">
      <c r="A23" s="23" t="n">
        <v>15</v>
      </c>
      <c r="B23" s="23" t="inlineStr">
        <is>
          <t>Luchtbehandelingskast / ventilatie-installatie, incl. kanaalwerk</t>
        </is>
      </c>
      <c r="C23" s="23" t="inlineStr">
        <is>
          <t>Roosters Solid Air (CTV/CRVM/RTB/RRB) incl. ≥1 m akoestische slang en instelklep</t>
        </is>
      </c>
      <c r="D23" s="23" t="inlineStr">
        <is>
          <t>E&amp;W 8.4.3</t>
        </is>
      </c>
      <c r="E23" s="23" t="inlineStr">
        <is>
          <t>st</t>
        </is>
      </c>
      <c r="F23" s="24" t="n">
        <v>230</v>
      </c>
      <c r="G23" s="25" t="n">
        <v>175</v>
      </c>
      <c r="H23" s="26">
        <f>F23*G23</f>
        <v/>
      </c>
      <c r="I23" s="23" t="inlineStr">
        <is>
          <t>OA W-installateur</t>
        </is>
      </c>
      <c r="J23" s="23" t="inlineStr">
        <is>
          <t>Richtprijs</t>
        </is>
      </c>
      <c r="K23" s="23" t="inlineStr">
        <is>
          <t>L.0.01: per kamer 6 roosters (CTV, CRVM, 2× RTB, 2× RRB) = 174 + ca. 56 in keukens/overige ruimten</t>
        </is>
      </c>
    </row>
    <row r="24">
      <c r="A24" s="23" t="n">
        <v>15</v>
      </c>
      <c r="B24" s="23" t="inlineStr">
        <is>
          <t>Luchtbehandelingskast / ventilatie-installatie, incl. kanaalwerk</t>
        </is>
      </c>
      <c r="C24" s="23" t="inlineStr">
        <is>
          <t>Verlaagde plenumbox Solid Air model 450 per fancoil (toevoer + recirculatie)</t>
        </is>
      </c>
      <c r="D24" s="23" t="inlineStr">
        <is>
          <t>Componentenboek nr. 17</t>
        </is>
      </c>
      <c r="E24" s="23" t="inlineStr">
        <is>
          <t>st</t>
        </is>
      </c>
      <c r="F24" s="24" t="n">
        <v>34</v>
      </c>
      <c r="G24" s="25" t="n">
        <v>260</v>
      </c>
      <c r="H24" s="26">
        <f>F24*G24</f>
        <v/>
      </c>
      <c r="I24" s="23" t="inlineStr">
        <is>
          <t>OA W-installateur</t>
        </is>
      </c>
      <c r="J24" s="23" t="inlineStr">
        <is>
          <t>Richtprijs</t>
        </is>
      </c>
      <c r="K24" s="23" t="inlineStr">
        <is>
          <t>Gelijk aan verdiepingen</t>
        </is>
      </c>
    </row>
    <row r="25">
      <c r="A25" s="23" t="n">
        <v>15</v>
      </c>
      <c r="B25" s="23" t="inlineStr">
        <is>
          <t>Luchtbehandelingskast / ventilatie-installatie, incl. kanaalwerk</t>
        </is>
      </c>
      <c r="C25" s="23" t="inlineStr">
        <is>
          <t>Plenumafzuiging gang + geluiddempende deurroosters (2 st)</t>
        </is>
      </c>
      <c r="D25" s="23" t="inlineStr">
        <is>
          <t>E&amp;W 8.4.1</t>
        </is>
      </c>
      <c r="E25" s="23" t="inlineStr">
        <is>
          <t>post</t>
        </is>
      </c>
      <c r="F25" s="24" t="n">
        <v>1</v>
      </c>
      <c r="G25" s="25" t="n">
        <v>4500</v>
      </c>
      <c r="H25" s="26">
        <f>F25*G25</f>
        <v/>
      </c>
      <c r="I25" s="23" t="inlineStr">
        <is>
          <t>OA W-installateur</t>
        </is>
      </c>
      <c r="J25" s="23" t="inlineStr">
        <is>
          <t>Richtprijs</t>
        </is>
      </c>
      <c r="K25" s="23" t="inlineStr"/>
    </row>
    <row r="26">
      <c r="A26" s="23" t="n">
        <v>15</v>
      </c>
      <c r="B26" s="23" t="inlineStr">
        <is>
          <t>Luchtbehandelingskast / ventilatie-installatie, incl. kanaalwerk</t>
        </is>
      </c>
      <c r="C26" s="23" t="inlineStr">
        <is>
          <t>Boxventilator wasruimte 0.57 met vochtregeling en tijdklok</t>
        </is>
      </c>
      <c r="D26" s="23" t="inlineStr">
        <is>
          <t>E&amp;W 8.5</t>
        </is>
      </c>
      <c r="E26" s="23" t="inlineStr">
        <is>
          <t>st</t>
        </is>
      </c>
      <c r="F26" s="24" t="n">
        <v>1</v>
      </c>
      <c r="G26" s="25" t="n">
        <v>2600</v>
      </c>
      <c r="H26" s="26">
        <f>F26*G26</f>
        <v/>
      </c>
      <c r="I26" s="23" t="inlineStr">
        <is>
          <t>OA W-installateur</t>
        </is>
      </c>
      <c r="J26" s="23" t="inlineStr">
        <is>
          <t>Richtprijs</t>
        </is>
      </c>
      <c r="K26" s="23" t="inlineStr"/>
    </row>
    <row r="27">
      <c r="A27" s="23" t="n">
        <v>15</v>
      </c>
      <c r="B27" s="23" t="inlineStr">
        <is>
          <t>Luchtbehandelingskast / ventilatie-installatie, incl. kanaalwerk</t>
        </is>
      </c>
      <c r="C27" s="23" t="inlineStr">
        <is>
          <t>Recirculatie-afzuigkap Quattro Correto CW4090 + plasmafilter (4 st keuken 0.24, 4 st keuken 0.64)</t>
        </is>
      </c>
      <c r="D27" s="23" t="inlineStr">
        <is>
          <t>E&amp;W 8.4.6/8.4.7</t>
        </is>
      </c>
      <c r="E27" s="23" t="inlineStr">
        <is>
          <t>st</t>
        </is>
      </c>
      <c r="F27" s="24" t="n">
        <v>8</v>
      </c>
      <c r="G27" s="25" t="n">
        <v>4600</v>
      </c>
      <c r="H27" s="26">
        <f>F27*G27</f>
        <v/>
      </c>
      <c r="I27" s="23" t="inlineStr">
        <is>
          <t>Techno Horeca / OA</t>
        </is>
      </c>
      <c r="J27" s="23" t="inlineStr">
        <is>
          <t>Offerte aanvragen</t>
        </is>
      </c>
      <c r="K27" s="23" t="inlineStr">
        <is>
          <t>Offerte Techno Horeca is bijgevoegd – bedrag overnemen. E.001 toont 7 AK-aansluitpunten, E&amp;W 8 kappen; BBN 3.7.2 noemt wasemschouw + wandkappen</t>
        </is>
      </c>
    </row>
    <row r="28">
      <c r="A28" s="23" t="n">
        <v>15</v>
      </c>
      <c r="B28" s="23" t="inlineStr">
        <is>
          <t>Luchtbehandelingskast / ventilatie-installatie, incl. kanaalwerk</t>
        </is>
      </c>
      <c r="C28" s="23" t="inlineStr">
        <is>
          <t>Luchtzijdig inregelen gehele BG + één gecombineerd meetrapport (Delta-P)</t>
        </is>
      </c>
      <c r="D28" s="23" t="inlineStr">
        <is>
          <t>E&amp;W 8.6</t>
        </is>
      </c>
      <c r="E28" s="23" t="inlineStr">
        <is>
          <t>post</t>
        </is>
      </c>
      <c r="F28" s="24" t="n">
        <v>1</v>
      </c>
      <c r="G28" s="25" t="n">
        <v>5000</v>
      </c>
      <c r="H28" s="26">
        <f>F28*G28</f>
        <v/>
      </c>
      <c r="I28" s="23" t="inlineStr">
        <is>
          <t>Delta-P (voorgeschreven)</t>
        </is>
      </c>
      <c r="J28" s="23" t="inlineStr">
        <is>
          <t>Offerte aanvragen</t>
        </is>
      </c>
      <c r="K28" s="23" t="inlineStr"/>
    </row>
    <row r="29">
      <c r="A29" s="23" t="n">
        <v>16</v>
      </c>
      <c r="B29" s="23" t="inlineStr">
        <is>
          <t>Verlichtingsinstallatie</t>
        </is>
      </c>
      <c r="C29" s="23" t="inlineStr">
        <is>
          <t>Verlichtingsarmaturen LED (downlights, inleg 600x600, plafonnière + hanglamp kamers) incl. aansluiting</t>
        </is>
      </c>
      <c r="D29" s="23" t="inlineStr">
        <is>
          <t>E&amp;W 10.9</t>
        </is>
      </c>
      <c r="E29" s="23" t="inlineStr">
        <is>
          <t>st</t>
        </is>
      </c>
      <c r="F29" s="24" t="n">
        <v>215</v>
      </c>
      <c r="G29" s="25" t="n">
        <v>210</v>
      </c>
      <c r="H29" s="26">
        <f>F29*G29</f>
        <v/>
      </c>
      <c r="I29" s="23" t="inlineStr">
        <is>
          <t>OA E-installateur</t>
        </is>
      </c>
      <c r="J29" s="23" t="inlineStr">
        <is>
          <t>Richtprijs</t>
        </is>
      </c>
      <c r="K29" s="23" t="inlineStr">
        <is>
          <t>E.001: A1 60x60 (92), E1/E2 downlights (36), F (8), W (9), H hanglamp (1 per kamer); typische kamers doorgerekend naar 29</t>
        </is>
      </c>
    </row>
    <row r="30">
      <c r="A30" s="23" t="n">
        <v>16</v>
      </c>
      <c r="B30" s="23" t="inlineStr">
        <is>
          <t>Verlichtingsinstallatie</t>
        </is>
      </c>
      <c r="C30" s="23" t="inlineStr">
        <is>
          <t>Noodverlichting en vluchtwegsignalering decentraal (autonoom)</t>
        </is>
      </c>
      <c r="D30" s="23" t="inlineStr">
        <is>
          <t>E&amp;W 10.10 + E.001</t>
        </is>
      </c>
      <c r="E30" s="23" t="inlineStr">
        <is>
          <t>st</t>
        </is>
      </c>
      <c r="F30" s="24" t="n">
        <v>25</v>
      </c>
      <c r="G30" s="25" t="n">
        <v>265</v>
      </c>
      <c r="H30" s="26">
        <f>F30*G30</f>
        <v/>
      </c>
      <c r="I30" s="23" t="inlineStr">
        <is>
          <t>OA E-installateur</t>
        </is>
      </c>
      <c r="J30" s="23" t="inlineStr">
        <is>
          <t>Richtprijs</t>
        </is>
      </c>
      <c r="K30" s="23" t="inlineStr">
        <is>
          <t>E.001: 11 NV/NV1-punten getekend + pictogrammen; aantal volgt uit projectering NEN 1838</t>
        </is>
      </c>
    </row>
    <row r="31">
      <c r="A31" s="23" t="n">
        <v>16</v>
      </c>
      <c r="B31" s="23" t="inlineStr">
        <is>
          <t>Verlichtingsinstallatie</t>
        </is>
      </c>
      <c r="C31" s="23" t="inlineStr">
        <is>
          <t>Aanwezigheidsdetectie / DALI-dimmers / nachtbedrijf gangen en sanitair</t>
        </is>
      </c>
      <c r="D31" s="23" t="inlineStr">
        <is>
          <t>E&amp;W 10.11</t>
        </is>
      </c>
      <c r="E31" s="23" t="inlineStr">
        <is>
          <t>st</t>
        </is>
      </c>
      <c r="F31" s="24" t="n">
        <v>25</v>
      </c>
      <c r="G31" s="25" t="n">
        <v>160</v>
      </c>
      <c r="H31" s="26">
        <f>F31*G31</f>
        <v/>
      </c>
      <c r="I31" s="23" t="inlineStr">
        <is>
          <t>OA E-installateur</t>
        </is>
      </c>
      <c r="J31" s="23" t="inlineStr">
        <is>
          <t>Richtprijs</t>
        </is>
      </c>
      <c r="K31" s="23" t="inlineStr"/>
    </row>
    <row r="32">
      <c r="A32" s="23" t="n">
        <v>17</v>
      </c>
      <c r="B32" s="23" t="inlineStr">
        <is>
          <t>Centrale elektrotechnische voorzieningen</t>
        </is>
      </c>
      <c r="C32" s="23" t="inlineStr">
        <is>
          <t>Nieuwe verdeelinrichting keuken (LKK) incl. voedingskabel vanuit HSVI parkeergarage</t>
        </is>
      </c>
      <c r="D32" s="23" t="inlineStr">
        <is>
          <t>E&amp;W 10.6</t>
        </is>
      </c>
      <c r="E32" s="23" t="inlineStr">
        <is>
          <t>st</t>
        </is>
      </c>
      <c r="F32" s="24" t="n">
        <v>1</v>
      </c>
      <c r="G32" s="25" t="n">
        <v>9500</v>
      </c>
      <c r="H32" s="26">
        <f>F32*G32</f>
        <v/>
      </c>
      <c r="I32" s="23" t="inlineStr">
        <is>
          <t>OA E-installateur</t>
        </is>
      </c>
      <c r="J32" s="23" t="inlineStr">
        <is>
          <t>Richtprijs</t>
        </is>
      </c>
      <c r="K32" s="23" t="inlineStr">
        <is>
          <t>Kabellengte parkeergarage → keuken bepalen</t>
        </is>
      </c>
    </row>
    <row r="33">
      <c r="A33" s="23" t="n">
        <v>17</v>
      </c>
      <c r="B33" s="23" t="inlineStr">
        <is>
          <t>Centrale elektrotechnische voorzieningen</t>
        </is>
      </c>
      <c r="C33" s="23" t="inlineStr">
        <is>
          <t>Aanpassen LK0-1 en LK0-2 (groepen, 20% reserve) incl. overspanningsbeveiliging + signaleringslamp</t>
        </is>
      </c>
      <c r="D33" s="23" t="inlineStr">
        <is>
          <t>E&amp;W 10.6.1/10.8</t>
        </is>
      </c>
      <c r="E33" s="23" t="inlineStr">
        <is>
          <t>st</t>
        </is>
      </c>
      <c r="F33" s="24" t="n">
        <v>2</v>
      </c>
      <c r="G33" s="25" t="n">
        <v>3800</v>
      </c>
      <c r="H33" s="26">
        <f>F33*G33</f>
        <v/>
      </c>
      <c r="I33" s="23" t="inlineStr">
        <is>
          <t>OA E-installateur</t>
        </is>
      </c>
      <c r="J33" s="23" t="inlineStr">
        <is>
          <t>Richtprijs</t>
        </is>
      </c>
      <c r="K33" s="23" t="inlineStr"/>
    </row>
    <row r="34">
      <c r="A34" s="23" t="n">
        <v>17</v>
      </c>
      <c r="B34" s="23" t="inlineStr">
        <is>
          <t>Centrale elektrotechnische voorzieningen</t>
        </is>
      </c>
      <c r="C34" s="23" t="inlineStr">
        <is>
          <t>Wandcontactdozen / aansluitpunten incl. leidingwerk in buis</t>
        </is>
      </c>
      <c r="D34" s="23" t="inlineStr">
        <is>
          <t>E&amp;W 10.7</t>
        </is>
      </c>
      <c r="E34" s="23" t="inlineStr">
        <is>
          <t>st</t>
        </is>
      </c>
      <c r="F34" s="24" t="n">
        <v>95</v>
      </c>
      <c r="G34" s="25" t="n">
        <v>135</v>
      </c>
      <c r="H34" s="26">
        <f>F34*G34</f>
        <v/>
      </c>
      <c r="I34" s="23" t="inlineStr">
        <is>
          <t>OA E-installateur</t>
        </is>
      </c>
      <c r="J34" s="23" t="inlineStr">
        <is>
          <t>Richtprijs</t>
        </is>
      </c>
      <c r="K34" s="23" t="inlineStr">
        <is>
          <t>E.001: KK per kamer + keukens (~32), 3O per kamer (29), Alg. (14), WM (4), DR (3), overig. Let op: punten die niet op tekening staan, horen er ook bij (10.7)</t>
        </is>
      </c>
    </row>
    <row r="35">
      <c r="A35" s="23" t="n">
        <v>17</v>
      </c>
      <c r="B35" s="23" t="inlineStr">
        <is>
          <t>Centrale elektrotechnische voorzieningen</t>
        </is>
      </c>
      <c r="C35" s="23" t="inlineStr">
        <is>
          <t>Krachtaansluitingen inductiekookplaten (6 st) en afzuigkappen</t>
        </is>
      </c>
      <c r="D35" s="23" t="inlineStr">
        <is>
          <t>E&amp;W 10.7.6</t>
        </is>
      </c>
      <c r="E35" s="23" t="inlineStr">
        <is>
          <t>st</t>
        </is>
      </c>
      <c r="F35" s="24" t="n">
        <v>14</v>
      </c>
      <c r="G35" s="25" t="n">
        <v>420</v>
      </c>
      <c r="H35" s="26">
        <f>F35*G35</f>
        <v/>
      </c>
      <c r="I35" s="23" t="inlineStr">
        <is>
          <t>OA E-installateur</t>
        </is>
      </c>
      <c r="J35" s="23" t="inlineStr">
        <is>
          <t>Richtprijs</t>
        </is>
      </c>
      <c r="K35" s="23" t="inlineStr"/>
    </row>
    <row r="36">
      <c r="A36" s="23" t="n">
        <v>17</v>
      </c>
      <c r="B36" s="23" t="inlineStr">
        <is>
          <t>Centrale elektrotechnische voorzieningen</t>
        </is>
      </c>
      <c r="C36" s="23" t="inlineStr">
        <is>
          <t>Voedingen ventilatorconvectoren, brandkleppen, M-Check, boxventilator</t>
        </is>
      </c>
      <c r="D36" s="23" t="inlineStr">
        <is>
          <t>E&amp;W 9.2.1/9.4.1</t>
        </is>
      </c>
      <c r="E36" s="23" t="inlineStr">
        <is>
          <t>st</t>
        </is>
      </c>
      <c r="F36" s="24" t="n">
        <v>45</v>
      </c>
      <c r="G36" s="25" t="n">
        <v>175</v>
      </c>
      <c r="H36" s="26">
        <f>F36*G36</f>
        <v/>
      </c>
      <c r="I36" s="23" t="inlineStr">
        <is>
          <t>OA E-installateur</t>
        </is>
      </c>
      <c r="J36" s="23" t="inlineStr">
        <is>
          <t>Richtprijs</t>
        </is>
      </c>
      <c r="K36" s="23" t="inlineStr"/>
    </row>
    <row r="37">
      <c r="A37" s="23" t="n">
        <v>17</v>
      </c>
      <c r="B37" s="23" t="inlineStr">
        <is>
          <t>Centrale elektrotechnische voorzieningen</t>
        </is>
      </c>
      <c r="C37" s="23" t="inlineStr">
        <is>
          <t>Aarding en potentiaalvereffening (incl. natte ruimten)</t>
        </is>
      </c>
      <c r="D37" s="23" t="inlineStr">
        <is>
          <t>E&amp;W 10.4</t>
        </is>
      </c>
      <c r="E37" s="23" t="inlineStr">
        <is>
          <t>post</t>
        </is>
      </c>
      <c r="F37" s="24" t="n">
        <v>1</v>
      </c>
      <c r="G37" s="25" t="n">
        <v>3200</v>
      </c>
      <c r="H37" s="26">
        <f>F37*G37</f>
        <v/>
      </c>
      <c r="I37" s="23" t="inlineStr">
        <is>
          <t>OA E-installateur</t>
        </is>
      </c>
      <c r="J37" s="23" t="inlineStr">
        <is>
          <t>Richtprijs</t>
        </is>
      </c>
      <c r="K37" s="23" t="inlineStr"/>
    </row>
    <row r="38">
      <c r="A38" s="23" t="n">
        <v>17</v>
      </c>
      <c r="B38" s="23" t="inlineStr">
        <is>
          <t>Centrale elektrotechnische voorzieningen</t>
        </is>
      </c>
      <c r="C38" s="23" t="inlineStr">
        <is>
          <t>Kabelgoten / kanalisatie + 35 m nieuw wandgootdeksel</t>
        </is>
      </c>
      <c r="D38" s="23" t="inlineStr">
        <is>
          <t>E&amp;W 10.5</t>
        </is>
      </c>
      <c r="E38" s="23" t="inlineStr">
        <is>
          <t>post</t>
        </is>
      </c>
      <c r="F38" s="24" t="n">
        <v>1</v>
      </c>
      <c r="G38" s="25" t="n">
        <v>6200</v>
      </c>
      <c r="H38" s="26">
        <f>F38*G38</f>
        <v/>
      </c>
      <c r="I38" s="23" t="inlineStr">
        <is>
          <t>OA E-installateur</t>
        </is>
      </c>
      <c r="J38" s="23" t="inlineStr">
        <is>
          <t>Richtprijs</t>
        </is>
      </c>
      <c r="K38" s="23" t="inlineStr"/>
    </row>
    <row r="39">
      <c r="A39" s="23" t="n">
        <v>17</v>
      </c>
      <c r="B39" s="23" t="inlineStr">
        <is>
          <t>Centrale elektrotechnische voorzieningen</t>
        </is>
      </c>
      <c r="C39" s="23" t="inlineStr">
        <is>
          <t>NEN 3140 / NEN 1010 metingen en rapportage</t>
        </is>
      </c>
      <c r="D39" s="23" t="inlineStr">
        <is>
          <t>E&amp;W 3.9.3</t>
        </is>
      </c>
      <c r="E39" s="23" t="inlineStr">
        <is>
          <t>post</t>
        </is>
      </c>
      <c r="F39" s="24" t="n">
        <v>1</v>
      </c>
      <c r="G39" s="25" t="n">
        <v>1600</v>
      </c>
      <c r="H39" s="26">
        <f>F39*G39</f>
        <v/>
      </c>
      <c r="I39" s="23" t="inlineStr">
        <is>
          <t>OA E-installateur</t>
        </is>
      </c>
      <c r="J39" s="23" t="inlineStr">
        <is>
          <t>Richtprijs</t>
        </is>
      </c>
      <c r="K39" s="23" t="inlineStr"/>
    </row>
    <row r="40">
      <c r="A40" s="23" t="n">
        <v>18</v>
      </c>
      <c r="B40" s="23" t="inlineStr">
        <is>
          <t>Aanpassen regeltechniek</t>
        </is>
      </c>
      <c r="C40" s="23" t="inlineStr">
        <is>
          <t>Demonteren vervallen I/O-punten, GBS-datapunten en bekabeling, opschonen regelkasten (Priva ongewijzigd)</t>
        </is>
      </c>
      <c r="D40" s="23" t="inlineStr">
        <is>
          <t>E&amp;W 5.9</t>
        </is>
      </c>
      <c r="E40" s="23" t="inlineStr">
        <is>
          <t>post</t>
        </is>
      </c>
      <c r="F40" s="24" t="n">
        <v>1</v>
      </c>
      <c r="G40" s="25" t="n">
        <v>3500</v>
      </c>
      <c r="H40" s="26">
        <f>F40*G40</f>
        <v/>
      </c>
      <c r="I40" s="23" t="inlineStr">
        <is>
          <t>OA W/regeltechniek</t>
        </is>
      </c>
      <c r="J40" s="23" t="inlineStr">
        <is>
          <t>Richtprijs</t>
        </is>
      </c>
      <c r="K40" s="23" t="inlineStr">
        <is>
          <t>Geen nul-prijs: deze post heeft wel inhoud</t>
        </is>
      </c>
    </row>
    <row r="41">
      <c r="A41" s="23" t="n">
        <v>18</v>
      </c>
      <c r="B41" s="23" t="inlineStr">
        <is>
          <t>Aanpassen regeltechniek</t>
        </is>
      </c>
      <c r="C41" s="23" t="inlineStr">
        <is>
          <t>Regeltechnische documentatie (processchema's, I/O-lijsten) + instructie ≥2 uur</t>
        </is>
      </c>
      <c r="D41" s="23" t="inlineStr">
        <is>
          <t>E&amp;W 9.5</t>
        </is>
      </c>
      <c r="E41" s="23" t="inlineStr">
        <is>
          <t>post</t>
        </is>
      </c>
      <c r="F41" s="24" t="n">
        <v>1</v>
      </c>
      <c r="G41" s="25" t="n">
        <v>1800</v>
      </c>
      <c r="H41" s="26">
        <f>F41*G41</f>
        <v/>
      </c>
      <c r="I41" s="23" t="inlineStr">
        <is>
          <t>OA W/regeltechniek</t>
        </is>
      </c>
      <c r="J41" s="23" t="inlineStr">
        <is>
          <t>Richtprijs</t>
        </is>
      </c>
      <c r="K41" s="23" t="inlineStr"/>
    </row>
    <row r="42">
      <c r="A42" s="23" t="n">
        <v>19</v>
      </c>
      <c r="B42" s="23" t="inlineStr">
        <is>
          <t>Communicatievoorzieningen</t>
        </is>
      </c>
      <c r="C42" s="23" t="inlineStr">
        <is>
          <t>Data-aansluiting CAT6a LSZH incl. outlet en bekabeling</t>
        </is>
      </c>
      <c r="D42" s="23" t="inlineStr">
        <is>
          <t>E&amp;W 11.2 + E.001</t>
        </is>
      </c>
      <c r="E42" s="23" t="inlineStr">
        <is>
          <t>st</t>
        </is>
      </c>
      <c r="F42" s="24" t="n">
        <v>8</v>
      </c>
      <c r="G42" s="25" t="n">
        <v>195</v>
      </c>
      <c r="H42" s="26">
        <f>F42*G42</f>
        <v/>
      </c>
      <c r="I42" s="23" t="inlineStr">
        <is>
          <t>OA E-installateur</t>
        </is>
      </c>
      <c r="J42" s="23" t="inlineStr">
        <is>
          <t>Richtprijs</t>
        </is>
      </c>
      <c r="K42" s="23" t="inlineStr">
        <is>
          <t>E.001: 8 D-punten (kantoor, gespreksruimten, beveiliging)</t>
        </is>
      </c>
    </row>
    <row r="43">
      <c r="A43" s="23" t="n">
        <v>19</v>
      </c>
      <c r="B43" s="23" t="inlineStr">
        <is>
          <t>Communicatievoorzieningen</t>
        </is>
      </c>
      <c r="C43" s="23" t="inlineStr">
        <is>
          <t>WLAN access point-aansluiting 2-voudig met PoE</t>
        </is>
      </c>
      <c r="D43" s="23" t="inlineStr">
        <is>
          <t>E&amp;W 11.2 + E.001</t>
        </is>
      </c>
      <c r="E43" s="23" t="inlineStr">
        <is>
          <t>st</t>
        </is>
      </c>
      <c r="F43" s="24" t="n">
        <v>12</v>
      </c>
      <c r="G43" s="25" t="n">
        <v>320</v>
      </c>
      <c r="H43" s="26">
        <f>F43*G43</f>
        <v/>
      </c>
      <c r="I43" s="23" t="inlineStr">
        <is>
          <t>OA E-installateur</t>
        </is>
      </c>
      <c r="J43" s="23" t="inlineStr">
        <is>
          <t>Richtprijs</t>
        </is>
      </c>
      <c r="K43" s="23" t="inlineStr">
        <is>
          <t>E.001: 12 Wi-Fi-punten</t>
        </is>
      </c>
    </row>
    <row r="44">
      <c r="A44" s="23" t="n">
        <v>19</v>
      </c>
      <c r="B44" s="23" t="inlineStr">
        <is>
          <t>Communicatievoorzieningen</t>
        </is>
      </c>
      <c r="C44" s="23" t="inlineStr">
        <is>
          <t>Patchpanelen/rangeerpanelen in bestaand 19"-rack + aansluit- en patchsnoeren (75%)</t>
        </is>
      </c>
      <c r="D44" s="23" t="inlineStr">
        <is>
          <t>E&amp;W 11.2.1</t>
        </is>
      </c>
      <c r="E44" s="23" t="inlineStr">
        <is>
          <t>post</t>
        </is>
      </c>
      <c r="F44" s="24" t="n">
        <v>1</v>
      </c>
      <c r="G44" s="25" t="n">
        <v>2800</v>
      </c>
      <c r="H44" s="26">
        <f>F44*G44</f>
        <v/>
      </c>
      <c r="I44" s="23" t="inlineStr">
        <is>
          <t>OA E-installateur</t>
        </is>
      </c>
      <c r="J44" s="23" t="inlineStr">
        <is>
          <t>Richtprijs</t>
        </is>
      </c>
      <c r="K44" s="23" t="inlineStr"/>
    </row>
    <row r="45">
      <c r="A45" s="23" t="n">
        <v>19</v>
      </c>
      <c r="B45" s="23" t="inlineStr">
        <is>
          <t>Communicatievoorzieningen</t>
        </is>
      </c>
      <c r="C45" s="23" t="inlineStr">
        <is>
          <t>Bekabeling camera's en toegangscontrole volgens opgave Trigion</t>
        </is>
      </c>
      <c r="D45" s="23" t="inlineStr">
        <is>
          <t>E&amp;W 11.2 / bijlage 13</t>
        </is>
      </c>
      <c r="E45" s="23" t="inlineStr">
        <is>
          <t>post</t>
        </is>
      </c>
      <c r="F45" s="24" t="n">
        <v>1</v>
      </c>
      <c r="G45" s="25" t="n">
        <v>4500</v>
      </c>
      <c r="H45" s="26">
        <f>F45*G45</f>
        <v/>
      </c>
      <c r="I45" s="23" t="inlineStr">
        <is>
          <t>OA E-installateur</t>
        </is>
      </c>
      <c r="J45" s="23" t="inlineStr">
        <is>
          <t>Offerte aanvragen</t>
        </is>
      </c>
      <c r="K45" s="23" t="inlineStr">
        <is>
          <t>Opgave Trigion (bijlage) uitrekenen</t>
        </is>
      </c>
    </row>
    <row r="46">
      <c r="A46" s="23" t="n">
        <v>20</v>
      </c>
      <c r="B46" s="23" t="inlineStr">
        <is>
          <t>Toegangscontrole en beveiliging</t>
        </is>
      </c>
      <c r="C46" s="23" t="inlineStr">
        <is>
          <t>Rookmelders met NEN 2555-functionaliteit in bewonerskamers incl. sturingen</t>
        </is>
      </c>
      <c r="D46" s="23" t="inlineStr">
        <is>
          <t>E&amp;W 12.2.3</t>
        </is>
      </c>
      <c r="E46" s="23" t="inlineStr">
        <is>
          <t>st</t>
        </is>
      </c>
      <c r="F46" s="24" t="n">
        <v>29</v>
      </c>
      <c r="G46" s="25" t="n">
        <v>290</v>
      </c>
      <c r="H46" s="26">
        <f>F46*G46</f>
        <v/>
      </c>
      <c r="I46" s="23" t="inlineStr">
        <is>
          <t>Erkend branddetectiebedrijf</t>
        </is>
      </c>
      <c r="J46" s="23" t="inlineStr">
        <is>
          <t>Offerte aanvragen</t>
        </is>
      </c>
      <c r="K46" s="23" t="inlineStr"/>
    </row>
    <row r="47">
      <c r="A47" s="23" t="n">
        <v>20</v>
      </c>
      <c r="B47" s="23" t="inlineStr">
        <is>
          <t>Toegangscontrole en beveiliging</t>
        </is>
      </c>
      <c r="C47" s="23" t="inlineStr">
        <is>
          <t>Automatische melders verkeers-, gezamenlijke en risicoruimten</t>
        </is>
      </c>
      <c r="D47" s="23" t="inlineStr">
        <is>
          <t>E&amp;W 12.2.3 + E.001</t>
        </is>
      </c>
      <c r="E47" s="23" t="inlineStr">
        <is>
          <t>st</t>
        </is>
      </c>
      <c r="F47" s="24" t="n">
        <v>24</v>
      </c>
      <c r="G47" s="25" t="n">
        <v>230</v>
      </c>
      <c r="H47" s="26">
        <f>F47*G47</f>
        <v/>
      </c>
      <c r="I47" s="23" t="inlineStr">
        <is>
          <t>Erkend branddetectiebedrijf</t>
        </is>
      </c>
      <c r="J47" s="23" t="inlineStr">
        <is>
          <t>Offerte aanvragen</t>
        </is>
      </c>
      <c r="K47" s="23" t="inlineStr"/>
    </row>
    <row r="48">
      <c r="A48" s="23" t="n">
        <v>20</v>
      </c>
      <c r="B48" s="23" t="inlineStr">
        <is>
          <t>Toegangscontrole en beveiliging</t>
        </is>
      </c>
      <c r="C48" s="23" t="inlineStr">
        <is>
          <t>Handbrandmelders (4) + slow-whoops / sirenesokkels klasse B (ca. 35)</t>
        </is>
      </c>
      <c r="D48" s="23" t="inlineStr">
        <is>
          <t>E&amp;W 12.2.6/12.3 + E.001</t>
        </is>
      </c>
      <c r="E48" s="23" t="inlineStr">
        <is>
          <t>st</t>
        </is>
      </c>
      <c r="F48" s="24" t="n">
        <v>39</v>
      </c>
      <c r="G48" s="25" t="n">
        <v>245</v>
      </c>
      <c r="H48" s="26">
        <f>F48*G48</f>
        <v/>
      </c>
      <c r="I48" s="23" t="inlineStr">
        <is>
          <t>Erkend branddetectiebedrijf</t>
        </is>
      </c>
      <c r="J48" s="23" t="inlineStr">
        <is>
          <t>Offerte aanvragen</t>
        </is>
      </c>
      <c r="K48" s="23" t="inlineStr">
        <is>
          <t>E.001: HBM 4, SW/R-SW/MS-SW-combinaties ca. 35 na doorrekenen typische kamers. Extra signaalgevers niet verrekenbaar</t>
        </is>
      </c>
    </row>
    <row r="49">
      <c r="A49" s="23" t="n">
        <v>20</v>
      </c>
      <c r="B49" s="23" t="inlineStr">
        <is>
          <t>Toegangscontrole en beveiliging</t>
        </is>
      </c>
      <c r="C49" s="23" t="inlineStr">
        <is>
          <t>Uitbreiding BMC/lus-capaciteit + aanpassen OAI-zonering</t>
        </is>
      </c>
      <c r="D49" s="23" t="inlineStr">
        <is>
          <t>E&amp;W 12.2.3</t>
        </is>
      </c>
      <c r="E49" s="23" t="inlineStr">
        <is>
          <t>post</t>
        </is>
      </c>
      <c r="F49" s="24" t="n">
        <v>1</v>
      </c>
      <c r="G49" s="25" t="n">
        <v>4500</v>
      </c>
      <c r="H49" s="26">
        <f>F49*G49</f>
        <v/>
      </c>
      <c r="I49" s="23" t="inlineStr">
        <is>
          <t>Erkend branddetectiebedrijf</t>
        </is>
      </c>
      <c r="J49" s="23" t="inlineStr">
        <is>
          <t>Offerte aanvragen</t>
        </is>
      </c>
      <c r="K49" s="23" t="inlineStr">
        <is>
          <t>Capaciteit bestaande BMC onbekend – zie risico's</t>
        </is>
      </c>
    </row>
    <row r="50">
      <c r="A50" s="23" t="n">
        <v>20</v>
      </c>
      <c r="B50" s="23" t="inlineStr">
        <is>
          <t>Toegangscontrole en beveiliging</t>
        </is>
      </c>
      <c r="C50" s="23" t="inlineStr">
        <is>
          <t>PvE/Nota van Aanvulling BMI/OAI + goedkeuring brandweer, projectering</t>
        </is>
      </c>
      <c r="D50" s="23" t="inlineStr">
        <is>
          <t>E&amp;W 12.2.1</t>
        </is>
      </c>
      <c r="E50" s="23" t="inlineStr">
        <is>
          <t>post</t>
        </is>
      </c>
      <c r="F50" s="24" t="n">
        <v>1</v>
      </c>
      <c r="G50" s="25" t="n">
        <v>3500</v>
      </c>
      <c r="H50" s="26">
        <f>F50*G50</f>
        <v/>
      </c>
      <c r="I50" s="23" t="inlineStr">
        <is>
          <t>Erkend branddetectiebedrijf</t>
        </is>
      </c>
      <c r="J50" s="23" t="inlineStr">
        <is>
          <t>Offerte aanvragen</t>
        </is>
      </c>
      <c r="K50" s="23" t="inlineStr"/>
    </row>
    <row r="51">
      <c r="A51" s="23" t="n">
        <v>20</v>
      </c>
      <c r="B51" s="23" t="inlineStr">
        <is>
          <t>Toegangscontrole en beveiliging</t>
        </is>
      </c>
      <c r="C51" s="23" t="inlineStr">
        <is>
          <t>Inbedrijfstelling, rapport van oplevering, inspectie erkende instelling, eerste certificaat</t>
        </is>
      </c>
      <c r="D51" s="23" t="inlineStr">
        <is>
          <t>E&amp;W 12.2.1/12.2.2</t>
        </is>
      </c>
      <c r="E51" s="23" t="inlineStr">
        <is>
          <t>post</t>
        </is>
      </c>
      <c r="F51" s="24" t="n">
        <v>1</v>
      </c>
      <c r="G51" s="25" t="n">
        <v>4800</v>
      </c>
      <c r="H51" s="26">
        <f>F51*G51</f>
        <v/>
      </c>
      <c r="I51" s="23" t="inlineStr">
        <is>
          <t>Erkend branddetectiebedrijf</t>
        </is>
      </c>
      <c r="J51" s="23" t="inlineStr">
        <is>
          <t>Offerte aanvragen</t>
        </is>
      </c>
      <c r="K51" s="23" t="inlineStr"/>
    </row>
    <row r="52">
      <c r="A52" s="23" t="n">
        <v>20</v>
      </c>
      <c r="B52" s="23" t="inlineStr">
        <is>
          <t>Toegangscontrole en beveiliging</t>
        </is>
      </c>
      <c r="C52" s="23" t="inlineStr">
        <is>
          <t>GTV-voedingen en aansturing brandkleppen + deurvastzetters/vrijloopdrangers</t>
        </is>
      </c>
      <c r="D52" s="23" t="inlineStr">
        <is>
          <t>E&amp;W 12.2.4</t>
        </is>
      </c>
      <c r="E52" s="23" t="inlineStr">
        <is>
          <t>post</t>
        </is>
      </c>
      <c r="F52" s="24" t="n">
        <v>1</v>
      </c>
      <c r="G52" s="25" t="n">
        <v>4500</v>
      </c>
      <c r="H52" s="26">
        <f>F52*G52</f>
        <v/>
      </c>
      <c r="I52" s="23" t="inlineStr">
        <is>
          <t>Erkend branddetectiebedrijf</t>
        </is>
      </c>
      <c r="J52" s="23" t="inlineStr">
        <is>
          <t>Richtprijs</t>
        </is>
      </c>
      <c r="K52" s="23" t="inlineStr">
        <is>
          <t>Demarcatie onduidelijk (8.4.2 'door derden' vs 12.2.4 'aannemer') – hier meegeprijsd</t>
        </is>
      </c>
    </row>
    <row r="53">
      <c r="A53" s="23" t="n">
        <v>20</v>
      </c>
      <c r="B53" s="23" t="inlineStr">
        <is>
          <t>Toegangscontrole en beveiliging</t>
        </is>
      </c>
      <c r="C53" s="23" t="inlineStr">
        <is>
          <t>Alarmsignalering mindervalidentoilet</t>
        </is>
      </c>
      <c r="D53" s="23" t="inlineStr">
        <is>
          <t>E&amp;W 12.5</t>
        </is>
      </c>
      <c r="E53" s="23" t="inlineStr">
        <is>
          <t>st</t>
        </is>
      </c>
      <c r="F53" s="24" t="n">
        <v>1</v>
      </c>
      <c r="G53" s="25" t="n">
        <v>850</v>
      </c>
      <c r="H53" s="26">
        <f>F53*G53</f>
        <v/>
      </c>
      <c r="I53" s="23" t="inlineStr">
        <is>
          <t>OA E-installateur</t>
        </is>
      </c>
      <c r="J53" s="23" t="inlineStr">
        <is>
          <t>Richtprijs</t>
        </is>
      </c>
      <c r="K53" s="23" t="inlineStr"/>
    </row>
    <row r="54">
      <c r="A54" s="23" t="n">
        <v>20</v>
      </c>
      <c r="B54" s="23" t="inlineStr">
        <is>
          <t>Toegangscontrole en beveiliging</t>
        </is>
      </c>
      <c r="C54" s="23" t="inlineStr">
        <is>
          <t>Stelpost toegangscontrole tussendeur 'time-out' (Salto-tag)</t>
        </is>
      </c>
      <c r="D54" s="23" t="inlineStr">
        <is>
          <t>E&amp;W 12.4</t>
        </is>
      </c>
      <c r="E54" s="23" t="inlineStr">
        <is>
          <t>post</t>
        </is>
      </c>
      <c r="F54" s="24" t="n">
        <v>1</v>
      </c>
      <c r="G54" s="27" t="n">
        <v>2000</v>
      </c>
      <c r="H54" s="26">
        <f>F54*G54</f>
        <v/>
      </c>
      <c r="I54" s="23" t="inlineStr">
        <is>
          <t>Stelpost</t>
        </is>
      </c>
      <c r="J54" s="23" t="inlineStr">
        <is>
          <t>Stelpost (voorgeschreven)</t>
        </is>
      </c>
      <c r="K54" s="23" t="inlineStr">
        <is>
          <t>Voorgeschreven verrekenbare stelpost</t>
        </is>
      </c>
    </row>
    <row r="55">
      <c r="A55" s="23" t="n">
        <v>21</v>
      </c>
      <c r="B55" s="23" t="inlineStr">
        <is>
          <t>Evt. andere bijkomende kosten (installaties)</t>
        </is>
      </c>
      <c r="C55" s="23" t="inlineStr">
        <is>
          <t>Stelpost tijdelijke voorzieningen t.b.v. bedrijfsvoering tijdens werkzaamheden</t>
        </is>
      </c>
      <c r="D55" s="23" t="inlineStr">
        <is>
          <t>E&amp;W 5.1</t>
        </is>
      </c>
      <c r="E55" s="23" t="inlineStr">
        <is>
          <t>post</t>
        </is>
      </c>
      <c r="F55" s="24" t="n">
        <v>1</v>
      </c>
      <c r="G55" s="27" t="n">
        <v>10000</v>
      </c>
      <c r="H55" s="26">
        <f>F55*G55</f>
        <v/>
      </c>
      <c r="I55" s="23" t="inlineStr">
        <is>
          <t>Stelpost</t>
        </is>
      </c>
      <c r="J55" s="23" t="inlineStr">
        <is>
          <t>Stelpost (voorgeschreven)</t>
        </is>
      </c>
      <c r="K55" s="23" t="inlineStr">
        <is>
          <t>Voorgeschreven verrekenbare stelpost</t>
        </is>
      </c>
    </row>
    <row r="56">
      <c r="A56" s="23" t="n">
        <v>21</v>
      </c>
      <c r="B56" s="23" t="inlineStr">
        <is>
          <t>Evt. andere bijkomende kosten (installaties)</t>
        </is>
      </c>
      <c r="C56" s="23" t="inlineStr">
        <is>
          <t>Horizontaal/verticaal transport installatiedelen + hulpmiddelen</t>
        </is>
      </c>
      <c r="D56" s="23" t="inlineStr">
        <is>
          <t>E&amp;W 3.10</t>
        </is>
      </c>
      <c r="E56" s="23" t="inlineStr">
        <is>
          <t>post</t>
        </is>
      </c>
      <c r="F56" s="24" t="n">
        <v>1</v>
      </c>
      <c r="G56" s="25" t="n">
        <v>2000</v>
      </c>
      <c r="H56" s="26">
        <f>F56*G56</f>
        <v/>
      </c>
      <c r="I56" s="23" t="inlineStr">
        <is>
          <t>OA installateurs</t>
        </is>
      </c>
      <c r="J56" s="23" t="inlineStr">
        <is>
          <t>Richtprijs</t>
        </is>
      </c>
      <c r="K56" s="23" t="inlineStr"/>
    </row>
    <row r="57">
      <c r="A57" s="23" t="n">
        <v>23</v>
      </c>
      <c r="B57" s="23" t="inlineStr">
        <is>
          <t>Vervangen kozijnen, ramen en gevelpanelen/-onderdelen</t>
        </is>
      </c>
      <c r="C57" s="23" t="inlineStr">
        <is>
          <t>Opname kozijnen en ruiten, vaststellen scope</t>
        </is>
      </c>
      <c r="D57" s="23" t="inlineStr">
        <is>
          <t>BBN 3.1.3</t>
        </is>
      </c>
      <c r="E57" s="23" t="inlineStr">
        <is>
          <t>post</t>
        </is>
      </c>
      <c r="F57" s="24" t="n">
        <v>1</v>
      </c>
      <c r="G57" s="25" t="n">
        <v>750</v>
      </c>
      <c r="H57" s="26">
        <f>F57*G57</f>
        <v/>
      </c>
      <c r="I57" s="23" t="inlineStr">
        <is>
          <t>VDL</t>
        </is>
      </c>
      <c r="J57" s="23" t="inlineStr">
        <is>
          <t>Richtprijs</t>
        </is>
      </c>
      <c r="K57" s="23" t="inlineStr"/>
    </row>
    <row r="58">
      <c r="A58" s="23" t="n">
        <v>23</v>
      </c>
      <c r="B58" s="23" t="inlineStr">
        <is>
          <t>Vervangen kozijnen, ramen en gevelpanelen/-onderdelen</t>
        </is>
      </c>
      <c r="C58" s="23" t="inlineStr">
        <is>
          <t>Vervangen beschadigde ruiten ZHR++/HR++ (U≤1,1), zo nodig gelaagd/gehard, incl. glaslatten</t>
        </is>
      </c>
      <c r="D58" s="23" t="inlineStr">
        <is>
          <t>BBN 3.1.3</t>
        </is>
      </c>
      <c r="E58" s="23" t="inlineStr">
        <is>
          <t>m2</t>
        </is>
      </c>
      <c r="F58" s="24" t="n">
        <v>25</v>
      </c>
      <c r="G58" s="25" t="n">
        <v>275</v>
      </c>
      <c r="H58" s="26">
        <f>F58*G58</f>
        <v/>
      </c>
      <c r="I58" s="23" t="inlineStr">
        <is>
          <t>OA glaszetter</t>
        </is>
      </c>
      <c r="J58" s="23" t="inlineStr">
        <is>
          <t>Richtprijs</t>
        </is>
      </c>
      <c r="K58" s="23" t="inlineStr">
        <is>
          <t>Hoeveelheid onbekend – schouw! Zie risico's</t>
        </is>
      </c>
    </row>
    <row r="59">
      <c r="A59" s="23" t="n">
        <v>23</v>
      </c>
      <c r="B59" s="23" t="inlineStr">
        <is>
          <t>Vervangen kozijnen, ramen en gevelpanelen/-onderdelen</t>
        </is>
      </c>
      <c r="C59" s="23" t="inlineStr">
        <is>
          <t>Privacyfolie ruiten sanitair blok (lichtdoorlatend, waterbestendig)</t>
        </is>
      </c>
      <c r="D59" s="23" t="inlineStr">
        <is>
          <t>BBN 3.1.2</t>
        </is>
      </c>
      <c r="E59" s="23" t="inlineStr">
        <is>
          <t>m2</t>
        </is>
      </c>
      <c r="F59" s="24" t="n">
        <v>20</v>
      </c>
      <c r="G59" s="25" t="n">
        <v>75</v>
      </c>
      <c r="H59" s="26">
        <f>F59*G59</f>
        <v/>
      </c>
      <c r="I59" s="23" t="inlineStr">
        <is>
          <t>OA</t>
        </is>
      </c>
      <c r="J59" s="23" t="inlineStr">
        <is>
          <t>Richtprijs</t>
        </is>
      </c>
      <c r="K59" s="23" t="inlineStr"/>
    </row>
    <row r="60">
      <c r="A60" s="23" t="n">
        <v>23</v>
      </c>
      <c r="B60" s="23" t="inlineStr">
        <is>
          <t>Vervangen kozijnen, ramen en gevelpanelen/-onderdelen</t>
        </is>
      </c>
      <c r="C60" s="23" t="inlineStr">
        <is>
          <t>Doorgeefluik binnenzijde demonteren, sluiten, isoleren en afwerken</t>
        </is>
      </c>
      <c r="D60" s="23" t="inlineStr">
        <is>
          <t>BBN 3.1.4</t>
        </is>
      </c>
      <c r="E60" s="23" t="inlineStr">
        <is>
          <t>st</t>
        </is>
      </c>
      <c r="F60" s="24" t="n">
        <v>1</v>
      </c>
      <c r="G60" s="25" t="n">
        <v>1250</v>
      </c>
      <c r="H60" s="26">
        <f>F60*G60</f>
        <v/>
      </c>
      <c r="I60" s="23" t="inlineStr">
        <is>
          <t>VDL</t>
        </is>
      </c>
      <c r="J60" s="23" t="inlineStr">
        <is>
          <t>Richtprijs</t>
        </is>
      </c>
      <c r="K60" s="23" t="inlineStr"/>
    </row>
    <row r="61">
      <c r="A61" s="23" t="n">
        <v>24</v>
      </c>
      <c r="B61" s="23" t="inlineStr">
        <is>
          <t>Vervangen vloerafwerking en plinten</t>
        </is>
      </c>
      <c r="C61" s="23" t="inlineStr">
        <is>
          <t>Verwijderen bestaande vloerafwerking incl. lijmresten en egalisatie (excl. terrazzo gangen en toilettegels)</t>
        </is>
      </c>
      <c r="D61" s="23" t="inlineStr">
        <is>
          <t>BBN 3.2.1</t>
        </is>
      </c>
      <c r="E61" s="23" t="inlineStr">
        <is>
          <t>m2</t>
        </is>
      </c>
      <c r="F61" s="24" t="n">
        <v>1100</v>
      </c>
      <c r="G61" s="25" t="n">
        <v>12</v>
      </c>
      <c r="H61" s="26">
        <f>F61*G61</f>
        <v/>
      </c>
      <c r="I61" s="23" t="inlineStr">
        <is>
          <t>OA vloerenlegger</t>
        </is>
      </c>
      <c r="J61" s="23" t="inlineStr">
        <is>
          <t>Richtprijs</t>
        </is>
      </c>
      <c r="K61" s="23" t="inlineStr">
        <is>
          <t>m² uitmeten op bijlage 3</t>
        </is>
      </c>
    </row>
    <row r="62">
      <c r="A62" s="23" t="n">
        <v>24</v>
      </c>
      <c r="B62" s="23" t="inlineStr">
        <is>
          <t>Vervangen vloerafwerking en plinten</t>
        </is>
      </c>
      <c r="C62" s="23" t="inlineStr">
        <is>
          <t>Ondergrond herstellen en egaliseren</t>
        </is>
      </c>
      <c r="D62" s="23" t="inlineStr">
        <is>
          <t>BBN 3.2.1</t>
        </is>
      </c>
      <c r="E62" s="23" t="inlineStr">
        <is>
          <t>m2</t>
        </is>
      </c>
      <c r="F62" s="24" t="n">
        <v>1100</v>
      </c>
      <c r="G62" s="25" t="n">
        <v>15</v>
      </c>
      <c r="H62" s="26">
        <f>F62*G62</f>
        <v/>
      </c>
      <c r="I62" s="23" t="inlineStr">
        <is>
          <t>OA vloerenlegger</t>
        </is>
      </c>
      <c r="J62" s="23" t="inlineStr">
        <is>
          <t>Richtprijs</t>
        </is>
      </c>
      <c r="K62" s="23" t="inlineStr">
        <is>
          <t>Volledig aangenomen</t>
        </is>
      </c>
    </row>
    <row r="63">
      <c r="A63" s="23" t="n">
        <v>24</v>
      </c>
      <c r="B63" s="23" t="inlineStr">
        <is>
          <t>Vervangen vloerafwerking en plinten</t>
        </is>
      </c>
      <c r="C63" s="23" t="inlineStr">
        <is>
          <t>Naadloze marmoleum-achtige afwerking in alle ruimten (kamers, gangen, woonkamers, keukens)</t>
        </is>
      </c>
      <c r="D63" s="23" t="inlineStr">
        <is>
          <t>BBN 3.2.2/3.2.4 + NvI vraag 11/17 + Bijlage 3</t>
        </is>
      </c>
      <c r="E63" s="23" t="inlineStr">
        <is>
          <t>m2</t>
        </is>
      </c>
      <c r="F63" s="24" t="n">
        <v>1042</v>
      </c>
      <c r="G63" s="25" t="n">
        <v>44</v>
      </c>
      <c r="H63" s="26">
        <f>F63*G63</f>
        <v/>
      </c>
      <c r="I63" s="23" t="inlineStr">
        <is>
          <t>OA vloerenlegger</t>
        </is>
      </c>
      <c r="J63" s="23" t="inlineStr">
        <is>
          <t>Richtprijs</t>
        </is>
      </c>
      <c r="K63" s="23" t="inlineStr">
        <is>
          <t>Gemeten op Bijlage 3: tapijt 939 m² (wordt marmoleum) + marmoleum 103 m². Hal 0.01 valt buiten scope; terrazzo 32 m² blijft</t>
        </is>
      </c>
    </row>
    <row r="64">
      <c r="A64" s="23" t="n">
        <v>24</v>
      </c>
      <c r="B64" s="23" t="inlineStr">
        <is>
          <t>Vervangen vloerafwerking en plinten</t>
        </is>
      </c>
      <c r="C64" s="23" t="inlineStr">
        <is>
          <t>Hardhouten plint 54x15 mm</t>
        </is>
      </c>
      <c r="D64" s="23" t="inlineStr">
        <is>
          <t>BBN 3.2.2</t>
        </is>
      </c>
      <c r="E64" s="23" t="inlineStr">
        <is>
          <t>m1</t>
        </is>
      </c>
      <c r="F64" s="24" t="n">
        <v>900</v>
      </c>
      <c r="G64" s="25" t="n">
        <v>14</v>
      </c>
      <c r="H64" s="26">
        <f>F64*G64</f>
        <v/>
      </c>
      <c r="I64" s="23" t="inlineStr">
        <is>
          <t>VDL</t>
        </is>
      </c>
      <c r="J64" s="23" t="inlineStr">
        <is>
          <t>Richtprijs</t>
        </is>
      </c>
      <c r="K64" s="23" t="inlineStr"/>
    </row>
    <row r="65">
      <c r="A65" s="23" t="n">
        <v>24</v>
      </c>
      <c r="B65" s="23" t="inlineStr">
        <is>
          <t>Vervangen vloerafwerking en plinten</t>
        </is>
      </c>
      <c r="C65" s="23" t="inlineStr">
        <is>
          <t>Overgangsprofielen en dorpels (natte ruimten, buitendeuren)</t>
        </is>
      </c>
      <c r="D65" s="23" t="inlineStr">
        <is>
          <t>BBN 3.2.1</t>
        </is>
      </c>
      <c r="E65" s="23" t="inlineStr">
        <is>
          <t>st</t>
        </is>
      </c>
      <c r="F65" s="24" t="n">
        <v>45</v>
      </c>
      <c r="G65" s="25" t="n">
        <v>65</v>
      </c>
      <c r="H65" s="26">
        <f>F65*G65</f>
        <v/>
      </c>
      <c r="I65" s="23" t="inlineStr">
        <is>
          <t>VDL</t>
        </is>
      </c>
      <c r="J65" s="23" t="inlineStr">
        <is>
          <t>Richtprijs</t>
        </is>
      </c>
      <c r="K65" s="23" t="inlineStr"/>
    </row>
    <row r="66">
      <c r="A66" s="23" t="n">
        <v>24</v>
      </c>
      <c r="B66" s="23" t="inlineStr">
        <is>
          <t>Vervangen vloerafwerking en plinten</t>
        </is>
      </c>
      <c r="C66" s="23" t="inlineStr">
        <is>
          <t>Herstel en reinigen tegels toiletruimten</t>
        </is>
      </c>
      <c r="D66" s="23" t="inlineStr">
        <is>
          <t>BBN 3.2.3</t>
        </is>
      </c>
      <c r="E66" s="23" t="inlineStr">
        <is>
          <t>post</t>
        </is>
      </c>
      <c r="F66" s="24" t="n">
        <v>1</v>
      </c>
      <c r="G66" s="25" t="n">
        <v>1200</v>
      </c>
      <c r="H66" s="26">
        <f>F66*G66</f>
        <v/>
      </c>
      <c r="I66" s="23" t="inlineStr">
        <is>
          <t>VDL</t>
        </is>
      </c>
      <c r="J66" s="23" t="inlineStr">
        <is>
          <t>Richtprijs</t>
        </is>
      </c>
      <c r="K66" s="23" t="inlineStr"/>
    </row>
    <row r="67">
      <c r="A67" s="23" t="n">
        <v>25</v>
      </c>
      <c r="B67" s="23" t="inlineStr">
        <is>
          <t>Aanpassen binnenwanden, -kozijnen en deuren</t>
        </is>
      </c>
      <c r="C67" s="23" t="inlineStr">
        <is>
          <t>Slopen niet-dragende binnenwanden + herstel aansluitvlakken</t>
        </is>
      </c>
      <c r="D67" s="23" t="inlineStr">
        <is>
          <t>BBN 3.3.1</t>
        </is>
      </c>
      <c r="E67" s="23" t="inlineStr">
        <is>
          <t>post</t>
        </is>
      </c>
      <c r="F67" s="24" t="n">
        <v>1</v>
      </c>
      <c r="G67" s="25" t="n">
        <v>8500</v>
      </c>
      <c r="H67" s="26">
        <f>F67*G67</f>
        <v/>
      </c>
      <c r="I67" s="23" t="inlineStr">
        <is>
          <t>VDL</t>
        </is>
      </c>
      <c r="J67" s="23" t="inlineStr">
        <is>
          <t>Richtprijs</t>
        </is>
      </c>
      <c r="K67" s="23" t="inlineStr"/>
    </row>
    <row r="68">
      <c r="A68" s="23" t="n">
        <v>25</v>
      </c>
      <c r="B68" s="23" t="inlineStr">
        <is>
          <t>Aanpassen binnenwanden, -kozijnen en deuren</t>
        </is>
      </c>
      <c r="C68" s="23" t="inlineStr">
        <is>
          <t>Glaswanden zorgvuldig demonteren, labelen, beschermd opslaan in het gebouw voor hergebruik op locatie</t>
        </is>
      </c>
      <c r="D68" s="23" t="inlineStr">
        <is>
          <t>BBN 3.3.2 + NvI vraag 21</t>
        </is>
      </c>
      <c r="E68" s="23" t="inlineStr">
        <is>
          <t>post</t>
        </is>
      </c>
      <c r="F68" s="24" t="n">
        <v>1</v>
      </c>
      <c r="G68" s="25" t="n">
        <v>4500</v>
      </c>
      <c r="H68" s="26">
        <f>F68*G68</f>
        <v/>
      </c>
      <c r="I68" s="23" t="inlineStr">
        <is>
          <t>VDL</t>
        </is>
      </c>
      <c r="J68" s="23" t="inlineStr">
        <is>
          <t>Richtprijs</t>
        </is>
      </c>
      <c r="K68" s="23" t="inlineStr">
        <is>
          <t>NvI vraag 21: alleen glazen wanden; opslag in overleg, mogelijk in het gebouw</t>
        </is>
      </c>
    </row>
    <row r="69">
      <c r="A69" s="23" t="n">
        <v>25</v>
      </c>
      <c r="B69" s="23" t="inlineStr">
        <is>
          <t>Aanpassen binnenwanden, -kozijnen en deuren</t>
        </is>
      </c>
      <c r="C69" s="23" t="inlineStr">
        <is>
          <t>Herstel aansluitingen vloer/wand/plafond na slopen binnenwanden (inschatting)</t>
        </is>
      </c>
      <c r="D69" s="23" t="inlineStr">
        <is>
          <t>NvI vraag 19</t>
        </is>
      </c>
      <c r="E69" s="23" t="inlineStr">
        <is>
          <t>post</t>
        </is>
      </c>
      <c r="F69" s="24" t="n">
        <v>1</v>
      </c>
      <c r="G69" s="25" t="n">
        <v>3500</v>
      </c>
      <c r="H69" s="26">
        <f>F69*G69</f>
        <v/>
      </c>
      <c r="I69" s="23" t="inlineStr">
        <is>
          <t>VDL</t>
        </is>
      </c>
      <c r="J69" s="23" t="inlineStr">
        <is>
          <t>Richtprijs</t>
        </is>
      </c>
      <c r="K69" s="23" t="inlineStr">
        <is>
          <t>NvI vraag 19: inschatting door aannemer, meenemen in de posten</t>
        </is>
      </c>
    </row>
    <row r="70">
      <c r="A70" s="23" t="n">
        <v>25</v>
      </c>
      <c r="B70" s="23" t="inlineStr">
        <is>
          <t>Aanpassen binnenwanden, -kozijnen en deuren</t>
        </is>
      </c>
      <c r="C70" s="23" t="inlineStr">
        <is>
          <t>Metal-stud wand EI30, dubbel beplaat, geïsoleerd, tot betondek, gelijmd op vloer (vloerverwarming)</t>
        </is>
      </c>
      <c r="D70" s="23" t="inlineStr">
        <is>
          <t>BBN 3.3.1/3.3.3 + NvI vraag 6 + Bijlage 4</t>
        </is>
      </c>
      <c r="E70" s="23" t="inlineStr">
        <is>
          <t>m2</t>
        </is>
      </c>
      <c r="F70" s="24" t="n">
        <v>1050</v>
      </c>
      <c r="G70" s="25" t="n">
        <v>105</v>
      </c>
      <c r="H70" s="26">
        <f>F70*G70</f>
        <v/>
      </c>
      <c r="I70" s="23" t="inlineStr">
        <is>
          <t>VDL</t>
        </is>
      </c>
      <c r="J70" s="23" t="inlineStr">
        <is>
          <t>Richtprijs</t>
        </is>
      </c>
      <c r="K70" s="23" t="inlineStr">
        <is>
          <t>Gemeten op Bijlage 4: ca. 329 m1 scheiding 30 min WBDBO, waarvan ca. 320 m1 nieuwe wand × 3,3 m. Opbouw volgens Bijlage 4: 2× 12,5 mm gips beide zijden + minerale wol. Hoogte tot betondek nameten</t>
        </is>
      </c>
    </row>
    <row r="71">
      <c r="A71" s="23" t="n">
        <v>25</v>
      </c>
      <c r="B71" s="23" t="inlineStr">
        <is>
          <t>Aanpassen binnenwanden, -kozijnen en deuren</t>
        </is>
      </c>
      <c r="C71" s="23" t="inlineStr">
        <is>
          <t>Toeslag verhoogde geluidsisolatie 47 dB kamers noord (0.49–0.56, 0.74–0.76)</t>
        </is>
      </c>
      <c r="D71" s="23" t="inlineStr">
        <is>
          <t>BBN 3.3.3</t>
        </is>
      </c>
      <c r="E71" s="23" t="inlineStr">
        <is>
          <t>m2</t>
        </is>
      </c>
      <c r="F71" s="24" t="n">
        <v>160</v>
      </c>
      <c r="G71" s="25" t="n">
        <v>32</v>
      </c>
      <c r="H71" s="26">
        <f>F71*G71</f>
        <v/>
      </c>
      <c r="I71" s="23" t="inlineStr">
        <is>
          <t>VDL</t>
        </is>
      </c>
      <c r="J71" s="23" t="inlineStr">
        <is>
          <t>Richtprijs</t>
        </is>
      </c>
      <c r="K71" s="23" t="inlineStr">
        <is>
          <t>Ca. 48 m1 × 3,3 m</t>
        </is>
      </c>
    </row>
    <row r="72">
      <c r="A72" s="23" t="n">
        <v>25</v>
      </c>
      <c r="B72" s="23" t="inlineStr">
        <is>
          <t>Aanpassen binnenwanden, -kozijnen en deuren</t>
        </is>
      </c>
      <c r="C72" s="23" t="inlineStr">
        <is>
          <t>Toeslag 59 dB: dubbele metal-stud frame wand 155–170 mm (kantoor/gespreksruimten 0.04, 0.05, 0.62, 0.63)</t>
        </is>
      </c>
      <c r="D72" s="23" t="inlineStr">
        <is>
          <t>BBN 3.3.2 / NvI vraag 5</t>
        </is>
      </c>
      <c r="E72" s="23" t="inlineStr">
        <is>
          <t>m2</t>
        </is>
      </c>
      <c r="F72" s="24" t="n">
        <v>60</v>
      </c>
      <c r="G72" s="25" t="n">
        <v>115</v>
      </c>
      <c r="H72" s="26">
        <f>F72*G72</f>
        <v/>
      </c>
      <c r="I72" s="23" t="inlineStr">
        <is>
          <t>VDL</t>
        </is>
      </c>
      <c r="J72" s="23" t="inlineStr">
        <is>
          <t>Richtprijs</t>
        </is>
      </c>
      <c r="K72" s="23" t="inlineStr">
        <is>
          <t>NvI vraag 5: alleen haalbaar met dubbele frames; DnT,A of Rw niet beantwoord. Ca. 18 m1 × 3,3 m</t>
        </is>
      </c>
    </row>
    <row r="73">
      <c r="A73" s="23" t="n">
        <v>25</v>
      </c>
      <c r="B73" s="23" t="inlineStr">
        <is>
          <t>Aanpassen binnenwanden, -kozijnen en deuren</t>
        </is>
      </c>
      <c r="C73" s="23" t="inlineStr">
        <is>
          <t>Scanbehang + sauswerk wanden (beide zijden)</t>
        </is>
      </c>
      <c r="D73" s="23" t="inlineStr">
        <is>
          <t>BBN 3.3.1</t>
        </is>
      </c>
      <c r="E73" s="23" t="inlineStr">
        <is>
          <t>m2</t>
        </is>
      </c>
      <c r="F73" s="24" t="n">
        <v>2100</v>
      </c>
      <c r="G73" s="25" t="n">
        <v>14</v>
      </c>
      <c r="H73" s="26">
        <f>F73*G73</f>
        <v/>
      </c>
      <c r="I73" s="23" t="inlineStr">
        <is>
          <t>OA schilder</t>
        </is>
      </c>
      <c r="J73" s="23" t="inlineStr">
        <is>
          <t>Richtprijs</t>
        </is>
      </c>
      <c r="K73" s="23" t="inlineStr"/>
    </row>
    <row r="74">
      <c r="A74" s="23" t="n">
        <v>25</v>
      </c>
      <c r="B74" s="23" t="inlineStr">
        <is>
          <t>Aanpassen binnenwanden, -kozijnen en deuren</t>
        </is>
      </c>
      <c r="C74" s="23" t="inlineStr">
        <is>
          <t>Deurstel EI30 akoestisch, 40-44 mm, insteekslot, elektrische sluitplaat (voorbereid op Trigion), vrijloopdranger</t>
        </is>
      </c>
      <c r="D74" s="23" t="inlineStr">
        <is>
          <t>BBN 3.4.2 + E.001</t>
        </is>
      </c>
      <c r="E74" s="23" t="inlineStr">
        <is>
          <t>st</t>
        </is>
      </c>
      <c r="F74" s="24" t="n">
        <v>35</v>
      </c>
      <c r="G74" s="25" t="n">
        <v>2150</v>
      </c>
      <c r="H74" s="26">
        <f>F74*G74</f>
        <v/>
      </c>
      <c r="I74" s="23" t="inlineStr">
        <is>
          <t>VDL / OA leverancier</t>
        </is>
      </c>
      <c r="J74" s="23" t="inlineStr">
        <is>
          <t>Offerte aanvragen</t>
        </is>
      </c>
      <c r="K74" s="23" t="inlineStr">
        <is>
          <t>29 kamerdeuren + 6 overig. E.001 toont VLD per kamerdeur maar maar 2 ES + 3 kaartlezers: BBN (ES per deur) aangehouden als strengste eis. Levertijd kritisch</t>
        </is>
      </c>
    </row>
    <row r="75">
      <c r="A75" s="23" t="n">
        <v>25</v>
      </c>
      <c r="B75" s="23" t="inlineStr">
        <is>
          <t>Aanpassen binnenwanden, -kozijnen en deuren</t>
        </is>
      </c>
      <c r="C75" s="23" t="inlineStr">
        <is>
          <t>Overige binnendeurstellen (techniek, berging, gemeenschappelijk)</t>
        </is>
      </c>
      <c r="D75" s="23" t="inlineStr">
        <is>
          <t>BBN 3.4.1</t>
        </is>
      </c>
      <c r="E75" s="23" t="inlineStr">
        <is>
          <t>st</t>
        </is>
      </c>
      <c r="F75" s="24" t="n">
        <v>8</v>
      </c>
      <c r="G75" s="25" t="n">
        <v>1250</v>
      </c>
      <c r="H75" s="26">
        <f>F75*G75</f>
        <v/>
      </c>
      <c r="I75" s="23" t="inlineStr">
        <is>
          <t>VDL</t>
        </is>
      </c>
      <c r="J75" s="23" t="inlineStr">
        <is>
          <t>Richtprijs</t>
        </is>
      </c>
      <c r="K75" s="23" t="inlineStr"/>
    </row>
    <row r="76">
      <c r="A76" s="23" t="n">
        <v>25</v>
      </c>
      <c r="B76" s="23" t="inlineStr">
        <is>
          <t>Aanpassen binnenwanden, -kozijnen en deuren</t>
        </is>
      </c>
      <c r="C76" s="23" t="inlineStr">
        <is>
          <t>Zelfsluitende deurstellen EI60 in 60-min compartimentsgrenzen</t>
        </is>
      </c>
      <c r="D76" s="23" t="inlineStr">
        <is>
          <t>Bijlage 4</t>
        </is>
      </c>
      <c r="E76" s="23" t="inlineStr">
        <is>
          <t>st</t>
        </is>
      </c>
      <c r="F76" s="24" t="n">
        <v>4</v>
      </c>
      <c r="G76" s="25" t="n">
        <v>2800</v>
      </c>
      <c r="H76" s="26">
        <f>F76*G76</f>
        <v/>
      </c>
      <c r="I76" s="23" t="inlineStr">
        <is>
          <t>VDL / OA leverancier</t>
        </is>
      </c>
      <c r="J76" s="23" t="inlineStr">
        <is>
          <t>Richtprijs</t>
        </is>
      </c>
      <c r="K76" s="23" t="inlineStr">
        <is>
          <t>Aantal inschatten; Bijlage 4 toont ca. 96 m1 scheiding 60 min, grotendeels bestaand</t>
        </is>
      </c>
    </row>
    <row r="77">
      <c r="A77" s="23" t="n">
        <v>25</v>
      </c>
      <c r="B77" s="23" t="inlineStr">
        <is>
          <t>Aanpassen binnenwanden, -kozijnen en deuren</t>
        </is>
      </c>
      <c r="C77" s="23" t="inlineStr">
        <is>
          <t>Aansluiten nieuwe wanden op bestaande 60-min scheidingen, controle en herstel</t>
        </is>
      </c>
      <c r="D77" s="23" t="inlineStr">
        <is>
          <t>Bijlage 4 / BBN 4.1</t>
        </is>
      </c>
      <c r="E77" s="23" t="inlineStr">
        <is>
          <t>post</t>
        </is>
      </c>
      <c r="F77" s="24" t="n">
        <v>1</v>
      </c>
      <c r="G77" s="25" t="n">
        <v>3500</v>
      </c>
      <c r="H77" s="26">
        <f>F77*G77</f>
        <v/>
      </c>
      <c r="I77" s="23" t="inlineStr">
        <is>
          <t>VDL</t>
        </is>
      </c>
      <c r="J77" s="23" t="inlineStr">
        <is>
          <t>Richtprijs</t>
        </is>
      </c>
      <c r="K77" s="23" t="inlineStr"/>
    </row>
    <row r="78">
      <c r="A78" s="23" t="n">
        <v>25</v>
      </c>
      <c r="B78" s="23" t="inlineStr">
        <is>
          <t>Aanpassen binnenwanden, -kozijnen en deuren</t>
        </is>
      </c>
      <c r="C78" s="23" t="inlineStr">
        <is>
          <t>Ondoorzichtige folie op hergebruikte glazen puien (0.44, 0.45, 0.62, 0.63, 0.64)</t>
        </is>
      </c>
      <c r="D78" s="23" t="inlineStr">
        <is>
          <t>Bijlage 4</t>
        </is>
      </c>
      <c r="E78" s="23" t="inlineStr">
        <is>
          <t>m2</t>
        </is>
      </c>
      <c r="F78" s="24" t="n">
        <v>90</v>
      </c>
      <c r="G78" s="25" t="n">
        <v>60</v>
      </c>
      <c r="H78" s="26">
        <f>F78*G78</f>
        <v/>
      </c>
      <c r="I78" s="23" t="inlineStr">
        <is>
          <t>OA</t>
        </is>
      </c>
      <c r="J78" s="23" t="inlineStr">
        <is>
          <t>Richtprijs</t>
        </is>
      </c>
      <c r="K78" s="23" t="inlineStr">
        <is>
          <t>Bijlage 4: glazen puien hergebruiken en voorzien van ondoorzichtige folie</t>
        </is>
      </c>
    </row>
    <row r="79">
      <c r="A79" s="23" t="n">
        <v>25</v>
      </c>
      <c r="B79" s="23" t="inlineStr">
        <is>
          <t>Aanpassen binnenwanden, -kozijnen en deuren</t>
        </is>
      </c>
      <c r="C79" s="23" t="inlineStr">
        <is>
          <t>Sluitplan / cilinders met moedersleutelsysteem, hang- en sluitwerk SKG2</t>
        </is>
      </c>
      <c r="D79" s="23" t="inlineStr">
        <is>
          <t>BBN 3.4.1 + NvI vraag 4</t>
        </is>
      </c>
      <c r="E79" s="23" t="inlineStr">
        <is>
          <t>st</t>
        </is>
      </c>
      <c r="F79" s="24" t="n">
        <v>45</v>
      </c>
      <c r="G79" s="25" t="n">
        <v>150</v>
      </c>
      <c r="H79" s="26">
        <f>F79*G79</f>
        <v/>
      </c>
      <c r="I79" s="23" t="inlineStr">
        <is>
          <t>OA</t>
        </is>
      </c>
      <c r="J79" s="23" t="inlineStr">
        <is>
          <t>Richtprijs</t>
        </is>
      </c>
      <c r="K79" s="23" t="inlineStr">
        <is>
          <t>NvI vraag 4: nieuw hang- en sluitwerk SKG2; wanden hotelstandaard, geen extra inbraakwerendheid</t>
        </is>
      </c>
    </row>
    <row r="80">
      <c r="A80" s="23" t="n">
        <v>25</v>
      </c>
      <c r="B80" s="23" t="inlineStr">
        <is>
          <t>Aanpassen binnenwanden, -kozijnen en deuren</t>
        </is>
      </c>
      <c r="C80" s="23" t="inlineStr">
        <is>
          <t>Kleefmagneten/openzetvoorzieningen verkeersdeuren (mechanisch deel)</t>
        </is>
      </c>
      <c r="D80" s="23" t="inlineStr">
        <is>
          <t>BBN 3.4.1</t>
        </is>
      </c>
      <c r="E80" s="23" t="inlineStr">
        <is>
          <t>st</t>
        </is>
      </c>
      <c r="F80" s="24" t="n">
        <v>10</v>
      </c>
      <c r="G80" s="25" t="n">
        <v>260</v>
      </c>
      <c r="H80" s="26">
        <f>F80*G80</f>
        <v/>
      </c>
      <c r="I80" s="23" t="inlineStr">
        <is>
          <t>VDL</t>
        </is>
      </c>
      <c r="J80" s="23" t="inlineStr">
        <is>
          <t>Richtprijs</t>
        </is>
      </c>
      <c r="K80" s="23" t="inlineStr"/>
    </row>
    <row r="81">
      <c r="A81" s="23" t="n">
        <v>26</v>
      </c>
      <c r="B81" s="23" t="inlineStr">
        <is>
          <t>Vervangen plafondafwerking</t>
        </is>
      </c>
      <c r="C81" s="23" t="inlineStr">
        <is>
          <t>Verwijderen bestaand plafond incl. constructie</t>
        </is>
      </c>
      <c r="D81" s="23" t="inlineStr">
        <is>
          <t>BBN 3.5</t>
        </is>
      </c>
      <c r="E81" s="23" t="inlineStr">
        <is>
          <t>m2</t>
        </is>
      </c>
      <c r="F81" s="24" t="n">
        <v>1250</v>
      </c>
      <c r="G81" s="25" t="n">
        <v>8</v>
      </c>
      <c r="H81" s="26">
        <f>F81*G81</f>
        <v/>
      </c>
      <c r="I81" s="23" t="inlineStr">
        <is>
          <t>OA plafondmonteur</t>
        </is>
      </c>
      <c r="J81" s="23" t="inlineStr">
        <is>
          <t>Richtprijs</t>
        </is>
      </c>
      <c r="K81" s="23" t="inlineStr"/>
    </row>
    <row r="82">
      <c r="A82" s="23" t="n">
        <v>26</v>
      </c>
      <c r="B82" s="23" t="inlineStr">
        <is>
          <t>Vervangen plafondafwerking</t>
        </is>
      </c>
      <c r="C82" s="23" t="inlineStr">
        <is>
          <t>Nieuw systeemplafond 600x600 incl. inspectieluiken en aanpassingen armaturen/roosters</t>
        </is>
      </c>
      <c r="D82" s="23" t="inlineStr">
        <is>
          <t>BBN 3.5</t>
        </is>
      </c>
      <c r="E82" s="23" t="inlineStr">
        <is>
          <t>m2</t>
        </is>
      </c>
      <c r="F82" s="24" t="n">
        <v>1200</v>
      </c>
      <c r="G82" s="25" t="n">
        <v>42</v>
      </c>
      <c r="H82" s="26">
        <f>F82*G82</f>
        <v/>
      </c>
      <c r="I82" s="23" t="inlineStr">
        <is>
          <t>OA plafondmonteur</t>
        </is>
      </c>
      <c r="J82" s="23" t="inlineStr">
        <is>
          <t>Richtprijs</t>
        </is>
      </c>
      <c r="K82" s="23" t="inlineStr"/>
    </row>
    <row r="83">
      <c r="A83" s="23" t="n">
        <v>27</v>
      </c>
      <c r="B83" s="23" t="inlineStr">
        <is>
          <t>Aanpassen zonwering</t>
        </is>
      </c>
      <c r="C83" s="23" t="inlineStr">
        <is>
          <t>Demonteren bestaande binnenzonwering</t>
        </is>
      </c>
      <c r="D83" s="23" t="inlineStr">
        <is>
          <t>BBN 3.7.1</t>
        </is>
      </c>
      <c r="E83" s="23" t="inlineStr">
        <is>
          <t>post</t>
        </is>
      </c>
      <c r="F83" s="24" t="n">
        <v>1</v>
      </c>
      <c r="G83" s="25" t="n">
        <v>1500</v>
      </c>
      <c r="H83" s="26">
        <f>F83*G83</f>
        <v/>
      </c>
      <c r="I83" s="23" t="inlineStr">
        <is>
          <t>VDL</t>
        </is>
      </c>
      <c r="J83" s="23" t="inlineStr">
        <is>
          <t>Richtprijs</t>
        </is>
      </c>
      <c r="K83" s="23" t="inlineStr">
        <is>
          <t>E&amp;W 4.1.3 zegt: pand heeft geen zonwering – navragen</t>
        </is>
      </c>
    </row>
    <row r="84">
      <c r="A84" s="23" t="n">
        <v>27</v>
      </c>
      <c r="B84" s="23" t="inlineStr">
        <is>
          <t>Aanpassen zonwering</t>
        </is>
      </c>
      <c r="C84" s="23" t="inlineStr">
        <is>
          <t>Verduisterende gordijnen brandvertragend (hotelfunctie) incl. rails, gelijk aan verdiepingen</t>
        </is>
      </c>
      <c r="D84" s="23" t="inlineStr">
        <is>
          <t>BBN 3.7.1 + NvI vraag 7/26</t>
        </is>
      </c>
      <c r="E84" s="23" t="inlineStr">
        <is>
          <t>m1</t>
        </is>
      </c>
      <c r="F84" s="24" t="n">
        <v>150</v>
      </c>
      <c r="G84" s="25" t="n">
        <v>110</v>
      </c>
      <c r="H84" s="26">
        <f>F84*G84</f>
        <v/>
      </c>
      <c r="I84" s="23" t="inlineStr">
        <is>
          <t>OA stoffeerder</t>
        </is>
      </c>
      <c r="J84" s="23" t="inlineStr">
        <is>
          <t>Richtprijs</t>
        </is>
      </c>
      <c r="K84" s="23" t="inlineStr">
        <is>
          <t>Raamlengtes uitmeten</t>
        </is>
      </c>
    </row>
    <row r="85">
      <c r="A85" s="23" t="n">
        <v>28</v>
      </c>
      <c r="B85" s="23" t="inlineStr">
        <is>
          <t>Realiseren vaste keukenvoorzieningen en pantry's</t>
        </is>
      </c>
      <c r="C85" s="23" t="inlineStr">
        <is>
          <t>Keukenblok woonkamer (multiplex/HPL, RVS-grepen, onderkasten)</t>
        </is>
      </c>
      <c r="D85" s="23" t="inlineStr">
        <is>
          <t>BBN 3.7.2</t>
        </is>
      </c>
      <c r="E85" s="23" t="inlineStr">
        <is>
          <t>m1</t>
        </is>
      </c>
      <c r="F85" s="24" t="n">
        <v>10</v>
      </c>
      <c r="G85" s="25" t="n">
        <v>780</v>
      </c>
      <c r="H85" s="26">
        <f>F85*G85</f>
        <v/>
      </c>
      <c r="I85" s="23" t="inlineStr">
        <is>
          <t>OA keukenbouwer</t>
        </is>
      </c>
      <c r="J85" s="23" t="inlineStr">
        <is>
          <t>Richtprijs</t>
        </is>
      </c>
      <c r="K85" s="23" t="inlineStr"/>
    </row>
    <row r="86">
      <c r="A86" s="23" t="n">
        <v>28</v>
      </c>
      <c r="B86" s="23" t="inlineStr">
        <is>
          <t>Realiseren vaste keukenvoorzieningen en pantry's</t>
        </is>
      </c>
      <c r="C86" s="23" t="inlineStr">
        <is>
          <t>Keukenblok eetruimte</t>
        </is>
      </c>
      <c r="D86" s="23" t="inlineStr">
        <is>
          <t>BBN 3.7.2</t>
        </is>
      </c>
      <c r="E86" s="23" t="inlineStr">
        <is>
          <t>m1</t>
        </is>
      </c>
      <c r="F86" s="24" t="n">
        <v>7</v>
      </c>
      <c r="G86" s="25" t="n">
        <v>780</v>
      </c>
      <c r="H86" s="26">
        <f>F86*G86</f>
        <v/>
      </c>
      <c r="I86" s="23" t="inlineStr">
        <is>
          <t>OA keukenbouwer</t>
        </is>
      </c>
      <c r="J86" s="23" t="inlineStr">
        <is>
          <t>Richtprijs</t>
        </is>
      </c>
      <c r="K86" s="23" t="inlineStr"/>
    </row>
    <row r="87">
      <c r="A87" s="23" t="n">
        <v>28</v>
      </c>
      <c r="B87" s="23" t="inlineStr">
        <is>
          <t>Realiseren vaste keukenvoorzieningen en pantry's</t>
        </is>
      </c>
      <c r="C87" s="23" t="inlineStr">
        <is>
          <t>Inductiekookplaat 4-pits (4 st woonkamer, 2 st eetruimte)</t>
        </is>
      </c>
      <c r="D87" s="23" t="inlineStr">
        <is>
          <t>BBN 3.7.2</t>
        </is>
      </c>
      <c r="E87" s="23" t="inlineStr">
        <is>
          <t>st</t>
        </is>
      </c>
      <c r="F87" s="24" t="n">
        <v>6</v>
      </c>
      <c r="G87" s="25" t="n">
        <v>950</v>
      </c>
      <c r="H87" s="26">
        <f>F87*G87</f>
        <v/>
      </c>
      <c r="I87" s="23" t="inlineStr">
        <is>
          <t>OA keukenbouwer</t>
        </is>
      </c>
      <c r="J87" s="23" t="inlineStr">
        <is>
          <t>Richtprijs</t>
        </is>
      </c>
      <c r="K87" s="23" t="inlineStr">
        <is>
          <t>E&amp;W 10.7.6 zegt: keukenapparatuur door derden – navragen</t>
        </is>
      </c>
    </row>
    <row r="88">
      <c r="A88" s="23" t="n">
        <v>28</v>
      </c>
      <c r="B88" s="23" t="inlineStr">
        <is>
          <t>Realiseren vaste keukenvoorzieningen en pantry's</t>
        </is>
      </c>
      <c r="C88" s="23" t="inlineStr">
        <is>
          <t>RVS spoelbak + kraan gemeenschappelijke keukens</t>
        </is>
      </c>
      <c r="D88" s="23" t="inlineStr">
        <is>
          <t>BBN 3.7.2</t>
        </is>
      </c>
      <c r="E88" s="23" t="inlineStr">
        <is>
          <t>st</t>
        </is>
      </c>
      <c r="F88" s="24" t="n">
        <v>4</v>
      </c>
      <c r="G88" s="25" t="n">
        <v>520</v>
      </c>
      <c r="H88" s="26">
        <f>F88*G88</f>
        <v/>
      </c>
      <c r="I88" s="23" t="inlineStr">
        <is>
          <t>OA keukenbouwer</t>
        </is>
      </c>
      <c r="J88" s="23" t="inlineStr">
        <is>
          <t>Richtprijs</t>
        </is>
      </c>
      <c r="K88" s="23" t="inlineStr"/>
    </row>
    <row r="89">
      <c r="A89" s="23" t="n">
        <v>28</v>
      </c>
      <c r="B89" s="23" t="inlineStr">
        <is>
          <t>Realiseren vaste keukenvoorzieningen en pantry's</t>
        </is>
      </c>
      <c r="C89" s="23" t="inlineStr">
        <is>
          <t>Pantry slaapkamer (werkblad, onderkast, RVS spoelbak/kraan, nis koelkast, WCD)</t>
        </is>
      </c>
      <c r="D89" s="23" t="inlineStr">
        <is>
          <t>BBN 3.7.3</t>
        </is>
      </c>
      <c r="E89" s="23" t="inlineStr">
        <is>
          <t>st</t>
        </is>
      </c>
      <c r="F89" s="24" t="n">
        <v>29</v>
      </c>
      <c r="G89" s="25" t="n">
        <v>1350</v>
      </c>
      <c r="H89" s="26">
        <f>F89*G89</f>
        <v/>
      </c>
      <c r="I89" s="23" t="inlineStr">
        <is>
          <t>OA keukenbouwer</t>
        </is>
      </c>
      <c r="J89" s="23" t="inlineStr">
        <is>
          <t>Richtprijs</t>
        </is>
      </c>
      <c r="K89" s="23" t="inlineStr">
        <is>
          <t>29 kamers (kk op alle plattegronden). LET OP: T.0.01/R.0.01 tonen GEEN water/afvoer naar de kamers; BBN 3.7.3 vraagt wel RVS-spoelbak + kraan</t>
        </is>
      </c>
    </row>
    <row r="90">
      <c r="A90" s="23" t="n">
        <v>29</v>
      </c>
      <c r="B90" s="23" t="inlineStr">
        <is>
          <t>Realiseren douchevoorzieningen</t>
        </is>
      </c>
      <c r="C90" s="23" t="inlineStr">
        <is>
          <t>HPL-douchecabines incl. scheidingswanden, deuren en beslag (0.37 en 0.42)</t>
        </is>
      </c>
      <c r="D90" s="23" t="inlineStr">
        <is>
          <t>NvI vraag 14</t>
        </is>
      </c>
      <c r="E90" s="23" t="inlineStr">
        <is>
          <t>st</t>
        </is>
      </c>
      <c r="F90" s="24" t="n">
        <v>8</v>
      </c>
      <c r="G90" s="25" t="n">
        <v>1650</v>
      </c>
      <c r="H90" s="26">
        <f>F90*G90</f>
        <v/>
      </c>
      <c r="I90" s="23" t="inlineStr">
        <is>
          <t>OA leverancier cabines</t>
        </is>
      </c>
      <c r="J90" s="23" t="inlineStr">
        <is>
          <t>Offerte aanvragen</t>
        </is>
      </c>
      <c r="K90" s="23" t="inlineStr">
        <is>
          <t>NvI vraag 14: HPL-cabines en -wanden toegestaan, zoals op de verdiepingen</t>
        </is>
      </c>
    </row>
    <row r="91">
      <c r="A91" s="23" t="n">
        <v>29</v>
      </c>
      <c r="B91" s="23" t="inlineStr">
        <is>
          <t>Realiseren douchevoorzieningen</t>
        </is>
      </c>
      <c r="C91" s="23" t="inlineStr">
        <is>
          <t>Wandtegelwerk wit geglazuurd op buitenwanden douche-/badruimten incl. afdichtingssysteem</t>
        </is>
      </c>
      <c r="D91" s="23" t="inlineStr">
        <is>
          <t>BBN 3.3.4 + NvI vraag 16</t>
        </is>
      </c>
      <c r="E91" s="23" t="inlineStr">
        <is>
          <t>m2</t>
        </is>
      </c>
      <c r="F91" s="24" t="n">
        <v>70</v>
      </c>
      <c r="G91" s="25" t="n">
        <v>92</v>
      </c>
      <c r="H91" s="26">
        <f>F91*G91</f>
        <v/>
      </c>
      <c r="I91" s="23" t="inlineStr">
        <is>
          <t>OA tegelzetter</t>
        </is>
      </c>
      <c r="J91" s="23" t="inlineStr">
        <is>
          <t>Richtprijs</t>
        </is>
      </c>
      <c r="K91" s="23" t="inlineStr">
        <is>
          <t>NvI vraag 16: gebruikelijke kwaliteit, geglazuurd wit. Minder m² door HPL-cabines</t>
        </is>
      </c>
    </row>
    <row r="92">
      <c r="A92" s="23" t="n">
        <v>29</v>
      </c>
      <c r="B92" s="23" t="inlineStr">
        <is>
          <t>Realiseren douchevoorzieningen</t>
        </is>
      </c>
      <c r="C92" s="23" t="inlineStr">
        <is>
          <t>Vloertegels douches, antislip, incl. afschot en afdichting</t>
        </is>
      </c>
      <c r="D92" s="23" t="inlineStr">
        <is>
          <t>BBN 3.2.3</t>
        </is>
      </c>
      <c r="E92" s="23" t="inlineStr">
        <is>
          <t>m2</t>
        </is>
      </c>
      <c r="F92" s="24" t="n">
        <v>45</v>
      </c>
      <c r="G92" s="25" t="n">
        <v>145</v>
      </c>
      <c r="H92" s="26">
        <f>F92*G92</f>
        <v/>
      </c>
      <c r="I92" s="23" t="inlineStr">
        <is>
          <t>OA tegelzetter</t>
        </is>
      </c>
      <c r="J92" s="23" t="inlineStr">
        <is>
          <t>Richtprijs</t>
        </is>
      </c>
      <c r="K92" s="23" t="inlineStr"/>
    </row>
    <row r="93">
      <c r="A93" s="23" t="n">
        <v>29</v>
      </c>
      <c r="B93" s="23" t="inlineStr">
        <is>
          <t>Realiseren douchevoorzieningen</t>
        </is>
      </c>
      <c r="C93" s="23" t="inlineStr">
        <is>
          <t>Douchedeuren 0.70/0.71 (vochtbestendig, Trespa o.g.)</t>
        </is>
      </c>
      <c r="D93" s="23" t="inlineStr">
        <is>
          <t>BBN 3.4.3</t>
        </is>
      </c>
      <c r="E93" s="23" t="inlineStr">
        <is>
          <t>st</t>
        </is>
      </c>
      <c r="F93" s="24" t="n">
        <v>2</v>
      </c>
      <c r="G93" s="25" t="n">
        <v>680</v>
      </c>
      <c r="H93" s="26">
        <f>F93*G93</f>
        <v/>
      </c>
      <c r="I93" s="23" t="inlineStr">
        <is>
          <t>VDL</t>
        </is>
      </c>
      <c r="J93" s="23" t="inlineStr">
        <is>
          <t>Richtprijs</t>
        </is>
      </c>
      <c r="K93" s="23" t="inlineStr">
        <is>
          <t>Deuren van de cabines in 0.37/0.42 zitten in de HPL-post</t>
        </is>
      </c>
    </row>
    <row r="94">
      <c r="A94" s="23" t="n">
        <v>30</v>
      </c>
      <c r="B94" s="23" t="inlineStr">
        <is>
          <t>Realiseren hekwerk terrein</t>
        </is>
      </c>
      <c r="C94" s="23" t="inlineStr">
        <is>
          <t>Hekwerk ≥1 m op gemetselde muur, chemische ankers, 'zwevend' boven tegels, incl. opname</t>
        </is>
      </c>
      <c r="D94" s="23" t="inlineStr">
        <is>
          <t>BBN 3.8.2</t>
        </is>
      </c>
      <c r="E94" s="23" t="inlineStr">
        <is>
          <t>m1</t>
        </is>
      </c>
      <c r="F94" s="24" t="n">
        <v>30</v>
      </c>
      <c r="G94" s="25" t="n">
        <v>285</v>
      </c>
      <c r="H94" s="26">
        <f>F94*G94</f>
        <v/>
      </c>
      <c r="I94" s="23" t="inlineStr">
        <is>
          <t>OA hekwerk</t>
        </is>
      </c>
      <c r="J94" s="23" t="inlineStr">
        <is>
          <t>Richtprijs</t>
        </is>
      </c>
      <c r="K94" s="23" t="inlineStr">
        <is>
          <t>Bijlage 1: aluminium balustrade gelijk aan uitvoering bij de trappen. Lengte uitmeten</t>
        </is>
      </c>
    </row>
    <row r="95">
      <c r="A95" s="23" t="n">
        <v>31</v>
      </c>
      <c r="B95" s="23" t="inlineStr">
        <is>
          <t>Realiseren entree's, incl. bijbehorende voorzieningen</t>
        </is>
      </c>
      <c r="C95" s="23" t="inlineStr">
        <is>
          <t>Drie entrees tuinzijde met hergebruik dubbele deuren</t>
        </is>
      </c>
      <c r="D95" s="23" t="inlineStr">
        <is>
          <t>BBN 3.8.1</t>
        </is>
      </c>
      <c r="E95" s="23" t="inlineStr">
        <is>
          <t>st</t>
        </is>
      </c>
      <c r="F95" s="24" t="n">
        <v>3</v>
      </c>
      <c r="G95" s="25" t="n">
        <v>1500</v>
      </c>
      <c r="H95" s="26">
        <f>F95*G95</f>
        <v/>
      </c>
      <c r="I95" s="23" t="inlineStr">
        <is>
          <t>VDL</t>
        </is>
      </c>
      <c r="J95" s="23" t="inlineStr">
        <is>
          <t>Richtprijs</t>
        </is>
      </c>
      <c r="K95" s="23" t="inlineStr"/>
    </row>
    <row r="96">
      <c r="A96" s="23" t="n">
        <v>31</v>
      </c>
      <c r="B96" s="23" t="inlineStr">
        <is>
          <t>Realiseren entree's, incl. bijbehorende voorzieningen</t>
        </is>
      </c>
      <c r="C96" s="23" t="inlineStr">
        <is>
          <t>Betontegels 1x2x0,1 m als opstap + toegankelijke helling binnen ≤3 m</t>
        </is>
      </c>
      <c r="D96" s="23" t="inlineStr">
        <is>
          <t>BBN 3.8.1</t>
        </is>
      </c>
      <c r="E96" s="23" t="inlineStr">
        <is>
          <t>post</t>
        </is>
      </c>
      <c r="F96" s="24" t="n">
        <v>1</v>
      </c>
      <c r="G96" s="25" t="n">
        <v>4300</v>
      </c>
      <c r="H96" s="26">
        <f>F96*G96</f>
        <v/>
      </c>
      <c r="I96" s="23" t="inlineStr">
        <is>
          <t>VDL</t>
        </is>
      </c>
      <c r="J96" s="23" t="inlineStr">
        <is>
          <t>Richtprijs</t>
        </is>
      </c>
      <c r="K96" s="23" t="inlineStr"/>
    </row>
    <row r="97">
      <c r="A97" s="23" t="n">
        <v>32</v>
      </c>
      <c r="B97" s="23" t="inlineStr">
        <is>
          <t>Realiseren fietsenstalling</t>
        </is>
      </c>
      <c r="C97" s="23" t="inlineStr">
        <is>
          <t>Fietsenstalling: buiten beschouwing volgens NvI vraag 3/29</t>
        </is>
      </c>
      <c r="D97" s="23" t="inlineStr">
        <is>
          <t>NvI vraag 3/29</t>
        </is>
      </c>
      <c r="E97" s="23" t="inlineStr">
        <is>
          <t>post</t>
        </is>
      </c>
      <c r="F97" s="24" t="n">
        <v>0</v>
      </c>
      <c r="G97" s="25" t="n">
        <v>0</v>
      </c>
      <c r="H97" s="26">
        <f>F97*G97</f>
        <v/>
      </c>
      <c r="I97" s="23" t="inlineStr">
        <is>
          <t>n.v.t.</t>
        </is>
      </c>
      <c r="J97" s="23" t="inlineStr">
        <is>
          <t>Richtprijs</t>
        </is>
      </c>
      <c r="K97" s="23" t="inlineStr">
        <is>
          <t>NvI: fietsenstalling wordt buiten beschouwing gelaten → € 0 in het formulier</t>
        </is>
      </c>
    </row>
    <row r="98">
      <c r="A98" s="23" t="n">
        <v>33</v>
      </c>
      <c r="B98" s="23" t="inlineStr">
        <is>
          <t>Doorvoeringen inbranden voor de installaties</t>
        </is>
      </c>
      <c r="C98" s="23" t="inlineStr">
        <is>
          <t>Brandwerende doorvoeringen (W/E/data) incl. codering en logboek conform bovenverdiepingen (VMT Zwolle)</t>
        </is>
      </c>
      <c r="D98" s="23" t="inlineStr">
        <is>
          <t>BBN 3.3.1 / E&amp;W 4.6/10.5.7</t>
        </is>
      </c>
      <c r="E98" s="23" t="inlineStr">
        <is>
          <t>st</t>
        </is>
      </c>
      <c r="F98" s="24" t="n">
        <v>260</v>
      </c>
      <c r="G98" s="25" t="n">
        <v>48</v>
      </c>
      <c r="H98" s="26">
        <f>F98*G98</f>
        <v/>
      </c>
      <c r="I98" s="23" t="inlineStr">
        <is>
          <t>VMT Brandpreventie</t>
        </is>
      </c>
      <c r="J98" s="23" t="inlineStr">
        <is>
          <t>Offerte aanvragen</t>
        </is>
      </c>
      <c r="K98" s="23" t="inlineStr">
        <is>
          <t>VMT is 'voorgesteld' – offerte opvragen; aantal inschatten met installateurs</t>
        </is>
      </c>
    </row>
    <row r="99">
      <c r="A99" s="23" t="n">
        <v>34</v>
      </c>
      <c r="B99" s="23" t="inlineStr">
        <is>
          <t>Evt. andere bijkomende kosten (bouwkundig)</t>
        </is>
      </c>
      <c r="C99" s="23" t="inlineStr">
        <is>
          <t>Bescherming bestaande bouw (vloeren, lift, looproutes), nulmeting met foto's</t>
        </is>
      </c>
      <c r="D99" s="23" t="inlineStr">
        <is>
          <t>BBN 6.1</t>
        </is>
      </c>
      <c r="E99" s="23" t="inlineStr">
        <is>
          <t>post</t>
        </is>
      </c>
      <c r="F99" s="24" t="n">
        <v>1</v>
      </c>
      <c r="G99" s="25" t="n">
        <v>5000</v>
      </c>
      <c r="H99" s="26">
        <f>F99*G99</f>
        <v/>
      </c>
      <c r="I99" s="23" t="inlineStr">
        <is>
          <t>VDL</t>
        </is>
      </c>
      <c r="J99" s="23" t="inlineStr">
        <is>
          <t>Richtprijs</t>
        </is>
      </c>
      <c r="K99" s="23" t="inlineStr"/>
    </row>
    <row r="100">
      <c r="A100" s="23" t="n">
        <v>34</v>
      </c>
      <c r="B100" s="23" t="inlineStr">
        <is>
          <t>Evt. andere bijkomende kosten (bouwkundig)</t>
        </is>
      </c>
      <c r="C100" s="23" t="inlineStr">
        <is>
          <t>Opleveringsschoonmaak</t>
        </is>
      </c>
      <c r="D100" s="23" t="inlineStr">
        <is>
          <t>BBN 6.2</t>
        </is>
      </c>
      <c r="E100" s="23" t="inlineStr">
        <is>
          <t>post</t>
        </is>
      </c>
      <c r="F100" s="24" t="n">
        <v>1</v>
      </c>
      <c r="G100" s="25" t="n">
        <v>3500</v>
      </c>
      <c r="H100" s="26">
        <f>F100*G100</f>
        <v/>
      </c>
      <c r="I100" s="23" t="inlineStr">
        <is>
          <t>OA schoonmaak</t>
        </is>
      </c>
      <c r="J100" s="23" t="inlineStr">
        <is>
          <t>Richtprijs</t>
        </is>
      </c>
      <c r="K100" s="23" t="inlineStr"/>
    </row>
    <row r="101">
      <c r="A101" s="23" t="n">
        <v>36</v>
      </c>
      <c r="B101" s="23" t="inlineStr">
        <is>
          <t>Engineering en coördinatiekosten</t>
        </is>
      </c>
      <c r="C101" s="23" t="inlineStr">
        <is>
          <t>Bouwkundige engineering, detaillering, constructeur</t>
        </is>
      </c>
      <c r="D101" s="23" t="inlineStr">
        <is>
          <t>BBN 4.1</t>
        </is>
      </c>
      <c r="E101" s="23" t="inlineStr">
        <is>
          <t>post</t>
        </is>
      </c>
      <c r="F101" s="24" t="n">
        <v>1</v>
      </c>
      <c r="G101" s="25" t="n">
        <v>12000</v>
      </c>
      <c r="H101" s="26">
        <f>F101*G101</f>
        <v/>
      </c>
      <c r="I101" s="23" t="inlineStr">
        <is>
          <t>VDL / adviseur</t>
        </is>
      </c>
      <c r="J101" s="23" t="inlineStr">
        <is>
          <t>Richtprijs</t>
        </is>
      </c>
      <c r="K101" s="23" t="inlineStr"/>
    </row>
    <row r="102">
      <c r="A102" s="23" t="n">
        <v>36</v>
      </c>
      <c r="B102" s="23" t="inlineStr">
        <is>
          <t>Engineering en coördinatiekosten</t>
        </is>
      </c>
      <c r="C102" s="23" t="inlineStr">
        <is>
          <t>Installatie-engineering: werktekeningen, VABI, tapwater-, licht-, kabelberekeningen</t>
        </is>
      </c>
      <c r="D102" s="23" t="inlineStr">
        <is>
          <t>E&amp;W 3.7/3.9</t>
        </is>
      </c>
      <c r="E102" s="23" t="inlineStr">
        <is>
          <t>post</t>
        </is>
      </c>
      <c r="F102" s="24" t="n">
        <v>1</v>
      </c>
      <c r="G102" s="25" t="n">
        <v>18000</v>
      </c>
      <c r="H102" s="26">
        <f>F102*G102</f>
        <v/>
      </c>
      <c r="I102" s="23" t="inlineStr">
        <is>
          <t>OA installateurs</t>
        </is>
      </c>
      <c r="J102" s="23" t="inlineStr">
        <is>
          <t>Richtprijs</t>
        </is>
      </c>
      <c r="K102" s="23" t="inlineStr">
        <is>
          <t>Reken op 5 weken review-cyclus met Winkelman</t>
        </is>
      </c>
    </row>
    <row r="103">
      <c r="A103" s="23" t="n">
        <v>36</v>
      </c>
      <c r="B103" s="23" t="inlineStr">
        <is>
          <t>Engineering en coördinatiekosten</t>
        </is>
      </c>
      <c r="C103" s="23" t="inlineStr">
        <is>
          <t>Projectleiding, werkvoorbereiding, coördinatie nevenaannemers (Trigion) en VGM-coördinatie</t>
        </is>
      </c>
      <c r="D103" s="23" t="inlineStr">
        <is>
          <t>BBN 3.9 / E&amp;W 3.3</t>
        </is>
      </c>
      <c r="E103" s="23" t="inlineStr">
        <is>
          <t>post</t>
        </is>
      </c>
      <c r="F103" s="24" t="n">
        <v>1</v>
      </c>
      <c r="G103" s="25" t="n">
        <v>16000</v>
      </c>
      <c r="H103" s="26">
        <f>F103*G103</f>
        <v/>
      </c>
      <c r="I103" s="23" t="inlineStr">
        <is>
          <t>VDL</t>
        </is>
      </c>
      <c r="J103" s="23" t="inlineStr">
        <is>
          <t>Richtprijs</t>
        </is>
      </c>
      <c r="K103" s="23" t="inlineStr"/>
    </row>
    <row r="104">
      <c r="A104" s="23" t="n">
        <v>37</v>
      </c>
      <c r="B104" s="23" t="inlineStr">
        <is>
          <t>Revisietekeningen</t>
        </is>
      </c>
      <c r="C104" s="23" t="inlineStr">
        <is>
          <t>Revisietekeningen (PDF + DWG/IFC), technisch dossier, opleverdossier fysiek + digitaal</t>
        </is>
      </c>
      <c r="D104" s="23" t="inlineStr">
        <is>
          <t>BBN 4.6 / E&amp;W 3.9</t>
        </is>
      </c>
      <c r="E104" s="23" t="inlineStr">
        <is>
          <t>post</t>
        </is>
      </c>
      <c r="F104" s="24" t="n">
        <v>1</v>
      </c>
      <c r="G104" s="25" t="n">
        <v>6500</v>
      </c>
      <c r="H104" s="26">
        <f>F104*G104</f>
        <v/>
      </c>
      <c r="I104" s="23" t="inlineStr">
        <is>
          <t>VDL + OA</t>
        </is>
      </c>
      <c r="J104" s="23" t="inlineStr">
        <is>
          <t>Richtprijs</t>
        </is>
      </c>
      <c r="K104" s="23" t="inlineStr"/>
    </row>
    <row r="105">
      <c r="A105" s="23" t="n">
        <v>38</v>
      </c>
      <c r="B105" s="23" t="inlineStr">
        <is>
          <t>Algemene Bouwplaatskosten (ABK)</t>
        </is>
      </c>
      <c r="C105" s="23" t="inlineStr">
        <is>
          <t>Uitvoerder (VCA-Vol, dagelijks aanwezig)</t>
        </is>
      </c>
      <c r="D105" s="23" t="inlineStr">
        <is>
          <t>BBN 3.9</t>
        </is>
      </c>
      <c r="E105" s="23" t="inlineStr">
        <is>
          <t>week</t>
        </is>
      </c>
      <c r="F105" s="24" t="n">
        <v>13</v>
      </c>
      <c r="G105" s="25" t="n">
        <v>2600</v>
      </c>
      <c r="H105" s="26">
        <f>F105*G105</f>
        <v/>
      </c>
      <c r="I105" s="23" t="inlineStr">
        <is>
          <t>VDL</t>
        </is>
      </c>
      <c r="J105" s="23" t="inlineStr">
        <is>
          <t>Richtprijs</t>
        </is>
      </c>
      <c r="K105" s="23" t="inlineStr">
        <is>
          <t>Start ca. 9 nov; NvI vraag 8: uitloop maximaal 6 weken toegestaan</t>
        </is>
      </c>
    </row>
    <row r="106">
      <c r="A106" s="23" t="n">
        <v>38</v>
      </c>
      <c r="B106" s="23" t="inlineStr">
        <is>
          <t>Algemene Bouwplaatskosten (ABK)</t>
        </is>
      </c>
      <c r="C106" s="23" t="inlineStr">
        <is>
          <t>Inpandige schaft-, sanitaire en opslagvoorzieningen</t>
        </is>
      </c>
      <c r="D106" s="23" t="inlineStr">
        <is>
          <t>BBN 4.3</t>
        </is>
      </c>
      <c r="E106" s="23" t="inlineStr">
        <is>
          <t>post</t>
        </is>
      </c>
      <c r="F106" s="24" t="n">
        <v>1</v>
      </c>
      <c r="G106" s="25" t="n">
        <v>5500</v>
      </c>
      <c r="H106" s="26">
        <f>F106*G106</f>
        <v/>
      </c>
      <c r="I106" s="23" t="inlineStr">
        <is>
          <t>VDL</t>
        </is>
      </c>
      <c r="J106" s="23" t="inlineStr">
        <is>
          <t>Richtprijs</t>
        </is>
      </c>
      <c r="K106" s="23" t="inlineStr"/>
    </row>
    <row r="107">
      <c r="A107" s="23" t="n">
        <v>38</v>
      </c>
      <c r="B107" s="23" t="inlineStr">
        <is>
          <t>Algemene Bouwplaatskosten (ABK)</t>
        </is>
      </c>
      <c r="C107" s="23" t="inlineStr">
        <is>
          <t>Afvalcontainers gescheiden afvoer incl. vergunning</t>
        </is>
      </c>
      <c r="D107" s="23" t="inlineStr">
        <is>
          <t>BBN 4.3/6.2</t>
        </is>
      </c>
      <c r="E107" s="23" t="inlineStr">
        <is>
          <t>st</t>
        </is>
      </c>
      <c r="F107" s="24" t="n">
        <v>12</v>
      </c>
      <c r="G107" s="25" t="n">
        <v>475</v>
      </c>
      <c r="H107" s="26">
        <f>F107*G107</f>
        <v/>
      </c>
      <c r="I107" s="23" t="inlineStr">
        <is>
          <t>OA afval</t>
        </is>
      </c>
      <c r="J107" s="23" t="inlineStr">
        <is>
          <t>Richtprijs</t>
        </is>
      </c>
      <c r="K107" s="23" t="inlineStr"/>
    </row>
    <row r="108">
      <c r="A108" s="23" t="n">
        <v>38</v>
      </c>
      <c r="B108" s="23" t="inlineStr">
        <is>
          <t>Algemene Bouwplaatskosten (ABK)</t>
        </is>
      </c>
      <c r="C108" s="23" t="inlineStr">
        <is>
          <t>V&amp;G-plan uitvoeringsfase (concept 2 weken voor start), werkplan, bouwplaatsinrichting, afzettingen</t>
        </is>
      </c>
      <c r="D108" s="23" t="inlineStr">
        <is>
          <t>BBN 3.9/4.3/6.3 + NvI vraag 8</t>
        </is>
      </c>
      <c r="E108" s="23" t="inlineStr">
        <is>
          <t>post</t>
        </is>
      </c>
      <c r="F108" s="24" t="n">
        <v>1</v>
      </c>
      <c r="G108" s="25" t="n">
        <v>3500</v>
      </c>
      <c r="H108" s="26">
        <f>F108*G108</f>
        <v/>
      </c>
      <c r="I108" s="23" t="inlineStr">
        <is>
          <t>VDL</t>
        </is>
      </c>
      <c r="J108" s="23" t="inlineStr">
        <is>
          <t>Richtprijs</t>
        </is>
      </c>
      <c r="K108" s="23" t="inlineStr"/>
    </row>
    <row r="109">
      <c r="A109" s="23" t="n">
        <v>38</v>
      </c>
      <c r="B109" s="23" t="inlineStr">
        <is>
          <t>Algemene Bouwplaatskosten (ABK)</t>
        </is>
      </c>
      <c r="C109" s="23" t="inlineStr">
        <is>
          <t>Klein materieel, steigers/rolsteigers, transport</t>
        </is>
      </c>
      <c r="D109" s="23" t="inlineStr">
        <is>
          <t>BBN 4.2</t>
        </is>
      </c>
      <c r="E109" s="23" t="inlineStr">
        <is>
          <t>post</t>
        </is>
      </c>
      <c r="F109" s="24" t="n">
        <v>1</v>
      </c>
      <c r="G109" s="25" t="n">
        <v>4500</v>
      </c>
      <c r="H109" s="26">
        <f>F109*G109</f>
        <v/>
      </c>
      <c r="I109" s="23" t="inlineStr">
        <is>
          <t>VDL</t>
        </is>
      </c>
      <c r="J109" s="23" t="inlineStr">
        <is>
          <t>Richtprijs</t>
        </is>
      </c>
      <c r="K109" s="23" t="inlineStr"/>
    </row>
    <row r="110">
      <c r="A110" s="23" t="n">
        <v>38</v>
      </c>
      <c r="B110" s="23" t="inlineStr">
        <is>
          <t>Algemene Bouwplaatskosten (ABK)</t>
        </is>
      </c>
      <c r="C110" s="23" t="inlineStr">
        <is>
          <t>Parkeerkosten openbare weg (2 voertuigen × ca. 65 werkdagen)</t>
        </is>
      </c>
      <c r="D110" s="23" t="inlineStr">
        <is>
          <t>NvI vraag 9</t>
        </is>
      </c>
      <c r="E110" s="23" t="inlineStr">
        <is>
          <t>dag</t>
        </is>
      </c>
      <c r="F110" s="24" t="n">
        <v>130</v>
      </c>
      <c r="G110" s="25" t="n">
        <v>20</v>
      </c>
      <c r="H110" s="26">
        <f>F110*G110</f>
        <v/>
      </c>
      <c r="I110" s="23" t="inlineStr">
        <is>
          <t>VDL</t>
        </is>
      </c>
      <c r="J110" s="23" t="inlineStr">
        <is>
          <t>Richtprijs</t>
        </is>
      </c>
      <c r="K110" s="23" t="inlineStr">
        <is>
          <t>NvI vraag 9: geen plekken op terrein, openbare weg is betaald parkeren</t>
        </is>
      </c>
    </row>
    <row r="111">
      <c r="A111" s="23" t="n">
        <v>38</v>
      </c>
      <c r="B111" s="23" t="inlineStr">
        <is>
          <t>Algemene Bouwplaatskosten (ABK)</t>
        </is>
      </c>
      <c r="C111" s="23" t="inlineStr">
        <is>
          <t>Hinderbeperking bewoond gebouw (stofschotten, geluidsarm werken, bewonerscommunicatie)</t>
        </is>
      </c>
      <c r="D111" s="23" t="inlineStr">
        <is>
          <t>E&amp;W 3.2 / BBN 4.4</t>
        </is>
      </c>
      <c r="E111" s="23" t="inlineStr">
        <is>
          <t>post</t>
        </is>
      </c>
      <c r="F111" s="24" t="n">
        <v>1</v>
      </c>
      <c r="G111" s="25" t="n">
        <v>3000</v>
      </c>
      <c r="H111" s="26">
        <f>F111*G111</f>
        <v/>
      </c>
      <c r="I111" s="23" t="inlineStr">
        <is>
          <t>VDL</t>
        </is>
      </c>
      <c r="J111" s="23" t="inlineStr">
        <is>
          <t>Richtprijs</t>
        </is>
      </c>
      <c r="K111" s="23" t="inlineStr"/>
    </row>
    <row r="112"/>
    <row r="113">
      <c r="C113" s="16" t="inlineStr">
        <is>
          <t>Totaal directe kosten (excl. opslagen AK/W&amp;R/CAR en risico's)</t>
        </is>
      </c>
      <c r="H113" s="28">
        <f>SUM(H2:H111)</f>
        <v/>
      </c>
    </row>
  </sheetData>
  <autoFilter ref="A1:K111"/>
  <conditionalFormatting sqref="J2:J111">
    <cfRule type="expression" priority="1" dxfId="0">
      <formula>$J2="Richtprijs"</formula>
    </cfRule>
  </conditionalFormatting>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showDropDown="0" showInputMessage="0" showErrorMessage="0" allowBlank="1" type="list">
      <formula1>"Richtprijs,Offerte aanvragen,Offerte ontvangen,Eigen norm,Stelpost (voorgeschreven)"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55" customWidth="1" min="2" max="2"/>
    <col width="18" customWidth="1" min="3" max="3"/>
    <col width="8" customWidth="1" min="4" max="4"/>
    <col width="13" customWidth="1" min="5" max="5"/>
    <col width="15" customWidth="1" min="6" max="6"/>
    <col width="12" customWidth="1" min="7" max="7"/>
    <col width="9" customWidth="1" min="8" max="8"/>
    <col width="15" customWidth="1" min="9" max="9"/>
    <col width="60" customWidth="1" min="10" max="10"/>
  </cols>
  <sheetData>
    <row r="1">
      <c r="A1" s="22" t="inlineStr">
        <is>
          <t>Nr</t>
        </is>
      </c>
      <c r="B1" s="22" t="inlineStr">
        <is>
          <t>Risico</t>
        </is>
      </c>
      <c r="C1" s="22" t="inlineStr">
        <is>
          <t>Bron (§)</t>
        </is>
      </c>
      <c r="D1" s="22" t="inlineStr">
        <is>
          <t>Kans</t>
        </is>
      </c>
      <c r="E1" s="22" t="inlineStr">
        <is>
          <t>Impact (€)</t>
        </is>
      </c>
      <c r="F1" s="22" t="inlineStr">
        <is>
          <t>Verwachte waarde</t>
        </is>
      </c>
      <c r="G1" s="22" t="inlineStr">
        <is>
          <t>Meeprijzen? (Ja/Nee)</t>
        </is>
      </c>
      <c r="H1" s="22" t="inlineStr">
        <is>
          <t>Naar post</t>
        </is>
      </c>
      <c r="I1" s="22" t="inlineStr">
        <is>
          <t>Opgenomen bedrag</t>
        </is>
      </c>
      <c r="J1" s="22" t="inlineStr">
        <is>
          <t>Toelichting / beheersmaatregel</t>
        </is>
      </c>
    </row>
    <row r="2">
      <c r="A2" s="23" t="n">
        <v>1</v>
      </c>
      <c r="B2" s="23" t="inlineStr">
        <is>
          <t>Schade aan vloerverwarming bij boren/bevestigen (geen revisie beschikbaar)</t>
        </is>
      </c>
      <c r="C2" s="23" t="inlineStr">
        <is>
          <t>BBN 3.2.1 / E&amp;W 7.3</t>
        </is>
      </c>
      <c r="D2" s="29" t="n">
        <v>0.3</v>
      </c>
      <c r="E2" s="30" t="n">
        <v>8000</v>
      </c>
      <c r="F2" s="26">
        <f>D2*E2</f>
        <v/>
      </c>
      <c r="G2" s="31" t="inlineStr">
        <is>
          <t>Ja</t>
        </is>
      </c>
      <c r="H2" s="31" t="n">
        <v>13</v>
      </c>
      <c r="I2" s="26">
        <f>IF(G2="Ja",F2,0)</f>
        <v/>
      </c>
      <c r="J2" s="23" t="inlineStr">
        <is>
          <t>Valt onder garantie opdrachtnemer. IR-scan vooraf, boorlocaties markeren.</t>
        </is>
      </c>
    </row>
    <row r="3">
      <c r="A3" s="23" t="n">
        <v>2</v>
      </c>
      <c r="B3" s="23" t="inlineStr">
        <is>
          <t>Meer kapotte ruiten of kozijnvervanging dan aangenomen (25 m²)</t>
        </is>
      </c>
      <c r="C3" s="23" t="inlineStr">
        <is>
          <t>BBN 3.1.3</t>
        </is>
      </c>
      <c r="D3" s="29" t="n">
        <v>0.5</v>
      </c>
      <c r="E3" s="30" t="n">
        <v>6000</v>
      </c>
      <c r="F3" s="26">
        <f>D3*E3</f>
        <v/>
      </c>
      <c r="G3" s="31" t="inlineStr">
        <is>
          <t>Ja</t>
        </is>
      </c>
      <c r="H3" s="31" t="n">
        <v>23</v>
      </c>
      <c r="I3" s="26">
        <f>IF(G3="Ja",F3,0)</f>
        <v/>
      </c>
      <c r="J3" s="23" t="inlineStr">
        <is>
          <t>Scope stelt u zelf vast bij opname. Schouw vóór inschrijving, anders aanname expliciet maken.</t>
        </is>
      </c>
    </row>
    <row r="4">
      <c r="A4" s="23" t="n">
        <v>3</v>
      </c>
      <c r="B4" s="23" t="inlineStr">
        <is>
          <t>Wanden tot betondek met extra brandmanchetten rond bestaande leidingen boven de kamers</t>
        </is>
      </c>
      <c r="C4" s="23" t="inlineStr">
        <is>
          <t>BBN 3.3.1 / E&amp;W 7.1</t>
        </is>
      </c>
      <c r="D4" s="29" t="n">
        <v>0.4</v>
      </c>
      <c r="E4" s="30" t="n">
        <v>15000</v>
      </c>
      <c r="F4" s="26">
        <f>D4*E4</f>
        <v/>
      </c>
      <c r="G4" s="31" t="inlineStr">
        <is>
          <t>Ja</t>
        </is>
      </c>
      <c r="H4" s="31" t="n">
        <v>25</v>
      </c>
      <c r="I4" s="26">
        <f>IF(G4="Ja",F4,0)</f>
        <v/>
      </c>
      <c r="J4" s="23" t="inlineStr">
        <is>
          <t>Bestaande leidingen lopen over de kamers en moeten in de 'drukschotten' worden opgenomen.</t>
        </is>
      </c>
    </row>
    <row r="5">
      <c r="A5" s="23" t="n">
        <v>4</v>
      </c>
      <c r="B5" s="23" t="inlineStr">
        <is>
          <t>Capaciteit bestaande BMC onvoldoende (extra lus/paneel)</t>
        </is>
      </c>
      <c r="C5" s="23" t="inlineStr">
        <is>
          <t>E&amp;W 12.2.3</t>
        </is>
      </c>
      <c r="D5" s="29" t="n">
        <v>0.3</v>
      </c>
      <c r="E5" s="30" t="n">
        <v>6000</v>
      </c>
      <c r="F5" s="26">
        <f>D5*E5</f>
        <v/>
      </c>
      <c r="G5" s="31" t="inlineStr">
        <is>
          <t>Ja</t>
        </is>
      </c>
      <c r="H5" s="31" t="n">
        <v>20</v>
      </c>
      <c r="I5" s="26">
        <f>IF(G5="Ja",F5,0)</f>
        <v/>
      </c>
      <c r="J5" s="23" t="inlineStr">
        <is>
          <t>Capaciteit vooraf laten checken door de onderhoudspartij BMI.</t>
        </is>
      </c>
    </row>
    <row r="6">
      <c r="A6" s="23" t="n">
        <v>5</v>
      </c>
      <c r="B6" s="23" t="inlineStr">
        <is>
          <t>Ondergrond vloer vraagt zwaarder herstel dan egaliseren</t>
        </is>
      </c>
      <c r="C6" s="23" t="inlineStr">
        <is>
          <t>BBN 3.2.1</t>
        </is>
      </c>
      <c r="D6" s="29" t="n">
        <v>0.4</v>
      </c>
      <c r="E6" s="30" t="n">
        <v>6000</v>
      </c>
      <c r="F6" s="26">
        <f>D6*E6</f>
        <v/>
      </c>
      <c r="G6" s="31" t="inlineStr">
        <is>
          <t>Ja</t>
        </is>
      </c>
      <c r="H6" s="31" t="n">
        <v>24</v>
      </c>
      <c r="I6" s="26">
        <f>IF(G6="Ja",F6,0)</f>
        <v/>
      </c>
      <c r="J6" s="23" t="inlineStr"/>
    </row>
    <row r="7">
      <c r="A7" s="23" t="n">
        <v>6</v>
      </c>
      <c r="B7" s="23" t="inlineStr">
        <is>
          <t>Legionella: positieve monsters, spoelen/desinfectie, herbemonstering</t>
        </is>
      </c>
      <c r="C7" s="23" t="inlineStr">
        <is>
          <t>E&amp;W 6.2.5</t>
        </is>
      </c>
      <c r="D7" s="29" t="n">
        <v>0.2</v>
      </c>
      <c r="E7" s="30" t="n">
        <v>2500</v>
      </c>
      <c r="F7" s="26">
        <f>D7*E7</f>
        <v/>
      </c>
      <c r="G7" s="31" t="inlineStr">
        <is>
          <t>Ja</t>
        </is>
      </c>
      <c r="H7" s="31" t="n">
        <v>14</v>
      </c>
      <c r="I7" s="26">
        <f>IF(G7="Ja",F7,0)</f>
        <v/>
      </c>
      <c r="J7" s="23" t="inlineStr">
        <is>
          <t>Kosten volledig voor de aannemer.</t>
        </is>
      </c>
    </row>
    <row r="8">
      <c r="A8" s="23" t="n">
        <v>7</v>
      </c>
      <c r="B8" s="23" t="inlineStr">
        <is>
          <t>Productiviteitsverlies in bewoond gebouw (08–16 uur; afbouw ±1 uur ruimer toegestaan)</t>
        </is>
      </c>
      <c r="C8" s="23" t="inlineStr">
        <is>
          <t>E&amp;W 3.2 + NvI vraag 15</t>
        </is>
      </c>
      <c r="D8" s="29" t="n">
        <v>0.4</v>
      </c>
      <c r="E8" s="30" t="n">
        <v>5000</v>
      </c>
      <c r="F8" s="26">
        <f>D8*E8</f>
        <v/>
      </c>
      <c r="G8" s="31" t="inlineStr">
        <is>
          <t>Ja</t>
        </is>
      </c>
      <c r="H8" s="31" t="n">
        <v>38</v>
      </c>
      <c r="I8" s="26">
        <f>IF(G8="Ja",F8,0)</f>
        <v/>
      </c>
      <c r="J8" s="23" t="inlineStr"/>
    </row>
    <row r="9">
      <c r="A9" s="23" t="n">
        <v>8</v>
      </c>
      <c r="B9" s="23" t="inlineStr">
        <is>
          <t>Versnelling / uitloop: start ca. 9 nov, oplevering eind 2026 met max. 6 weken uitloop (NvI vraag 8/28)</t>
        </is>
      </c>
      <c r="C9" s="23" t="inlineStr">
        <is>
          <t>Offerteaanvraag + NvI vraag 8/28</t>
        </is>
      </c>
      <c r="D9" s="29" t="n">
        <v>0.4</v>
      </c>
      <c r="E9" s="30" t="n">
        <v>10000</v>
      </c>
      <c r="F9" s="26">
        <f>D9*E9</f>
        <v/>
      </c>
      <c r="G9" s="31" t="inlineStr">
        <is>
          <t>Ja</t>
        </is>
      </c>
      <c r="H9" s="31" t="n">
        <v>38</v>
      </c>
      <c r="I9" s="26">
        <f>IF(G9="Ja",F9,0)</f>
        <v/>
      </c>
      <c r="J9" s="23" t="inlineStr">
        <is>
          <t>Overwerk mag alleen met schriftelijke toestemming. Beter: realistische planning met benoemde afhankelijkheden.</t>
        </is>
      </c>
    </row>
    <row r="10">
      <c r="A10" s="23" t="n">
        <v>9</v>
      </c>
      <c r="B10" s="23" t="inlineStr">
        <is>
          <t>Pantry's slaapkamers met water: close-in boiler, sifon en aansluitingen zoals op de verdiepingen (29 kamers)</t>
        </is>
      </c>
      <c r="C10" s="23" t="inlineStr">
        <is>
          <t>BBN 3.7.3 + Componentenboek nr. 1–3 vs E&amp;W 6.1/6.2 + T.0.01</t>
        </is>
      </c>
      <c r="D10" s="29" t="n">
        <v>0.4</v>
      </c>
      <c r="E10" s="30" t="n">
        <v>45000</v>
      </c>
      <c r="F10" s="26">
        <f>D10*E10</f>
        <v/>
      </c>
      <c r="G10" s="31" t="inlineStr">
        <is>
          <t>Nee</t>
        </is>
      </c>
      <c r="H10" s="31" t="n">
        <v>14</v>
      </c>
      <c r="I10" s="26">
        <f>IF(G10="Ja",F10,0)</f>
        <v/>
      </c>
      <c r="J10" s="23" t="inlineStr">
        <is>
          <t>Componentenboek (verdiepingen 2022) heeft per kamer een Inventum Q10 close-in boiler + sifon; E&amp;W en T.0.01/R.0.01 tonen voor de BG geen water naar de kamers. Niet meegeprijsd.</t>
        </is>
      </c>
    </row>
    <row r="11">
      <c r="A11" s="23" t="n">
        <v>10</v>
      </c>
      <c r="B11" s="23" t="inlineStr">
        <is>
          <t>Constant-volumeregelaars Solid Air VCMHAR per kamer zoals op verdiepingen</t>
        </is>
      </c>
      <c r="C11" s="23" t="inlineStr">
        <is>
          <t>Componentenboek nr. 14 vs L.0.01</t>
        </is>
      </c>
      <c r="D11" s="29" t="n">
        <v>0.2</v>
      </c>
      <c r="E11" s="30" t="n">
        <v>9000</v>
      </c>
      <c r="F11" s="26">
        <f>D11*E11</f>
        <v/>
      </c>
      <c r="G11" s="31" t="inlineStr">
        <is>
          <t>Nee</t>
        </is>
      </c>
      <c r="H11" s="31" t="n">
        <v>15</v>
      </c>
      <c r="I11" s="26">
        <f>IF(G11="Ja",F11,0)</f>
        <v/>
      </c>
      <c r="J11" s="23" t="inlineStr">
        <is>
          <t>Niet in E&amp;W/L.0.01 (handbediende inregelkleppen). Niet meegeprijsd.</t>
        </is>
      </c>
    </row>
    <row r="12">
      <c r="A12" s="23" t="n">
        <v>11</v>
      </c>
      <c r="B12" s="23" t="inlineStr">
        <is>
          <t>Kernboringen door BG-vloer boven parkeergarage: vloerverwarming en brandwerend dichten</t>
        </is>
      </c>
      <c r="C12" s="23" t="inlineStr">
        <is>
          <t>R.-1.01 / E&amp;W 6.1.1</t>
        </is>
      </c>
      <c r="D12" s="29" t="n">
        <v>0.3</v>
      </c>
      <c r="E12" s="30" t="n">
        <v>4000</v>
      </c>
      <c r="F12" s="26">
        <f>D12*E12</f>
        <v/>
      </c>
      <c r="G12" s="31" t="inlineStr">
        <is>
          <t>Ja</t>
        </is>
      </c>
      <c r="H12" s="31" t="n">
        <v>14</v>
      </c>
      <c r="I12" s="26">
        <f>IF(G12="Ja",F12,0)</f>
        <v/>
      </c>
      <c r="J12" s="23" t="inlineStr">
        <is>
          <t>Ca. 12 doorboringen; garage is apart brandcompartiment.</t>
        </is>
      </c>
    </row>
    <row r="13">
      <c r="A13" s="23" t="n">
        <v>12</v>
      </c>
      <c r="B13" s="23" t="inlineStr">
        <is>
          <t>Werk op 1e en 2e verdieping volgens Bijlage 1 (DO-11): 3 personeelstoiletten 1e verd. incl. W/E; herplaatsen glaswand + deuren, OSB-passtukken en voorzetwand 2e verd.</t>
        </is>
      </c>
      <c r="C13" s="23" t="inlineStr">
        <is>
          <t>Bijlage 1 blad 3 + NvI vraag 21</t>
        </is>
      </c>
      <c r="D13" s="29" t="n">
        <v>0.6</v>
      </c>
      <c r="E13" s="30" t="n">
        <v>24500</v>
      </c>
      <c r="F13" s="26">
        <f>D13*E13</f>
        <v/>
      </c>
      <c r="G13" s="31" t="inlineStr">
        <is>
          <t>Ja</t>
        </is>
      </c>
      <c r="H13" s="31" t="n">
        <v>34</v>
      </c>
      <c r="I13" s="26">
        <f>IF(G13="Ja",F13,0)</f>
        <v/>
      </c>
      <c r="J13" s="23" t="inlineStr">
        <is>
          <t>Staat niet in BBN/E&amp;W, maar wel in de bijlage die integraal onderdeel is. NvI 21: glazen wanden hergebruiken op deze locatie.</t>
        </is>
      </c>
    </row>
    <row r="14">
      <c r="A14" s="23" t="n">
        <v>13</v>
      </c>
      <c r="B14" s="23" t="inlineStr">
        <is>
          <t>Terreininrichting volgens Bijlage 1: taxushaag in plantenbakken (2,3 m), ACP-scheidingswanden, verplaatsen plantenbakken, zeecontainer als rookruimte; sportveld n.t.b.</t>
        </is>
      </c>
      <c r="C14" s="23" t="inlineStr">
        <is>
          <t>Bijlage 1 blad 1</t>
        </is>
      </c>
      <c r="D14" s="29" t="n">
        <v>0.3</v>
      </c>
      <c r="E14" s="30" t="n">
        <v>45000</v>
      </c>
      <c r="F14" s="26">
        <f>D14*E14</f>
        <v/>
      </c>
      <c r="G14" s="31" t="inlineStr">
        <is>
          <t>Nee</t>
        </is>
      </c>
      <c r="H14" s="31" t="n">
        <v>34</v>
      </c>
      <c r="I14" s="26">
        <f>IF(G14="Ja",F14,0)</f>
        <v/>
      </c>
      <c r="J14" s="23" t="inlineStr">
        <is>
          <t>Niet in BBN 3.8 (alleen entrees, hekwerk, fietsenstalling). Niet meegeprijsd; sportveld expliciet n.t.b.</t>
        </is>
      </c>
    </row>
    <row r="15">
      <c r="A15" s="23" t="n">
        <v>14</v>
      </c>
      <c r="B15" s="23" t="inlineStr">
        <is>
          <t>Twee versies plattegrond: Bijlage 1/3 (DO-01, 13-02) wijkt af van Bijlage 4 en installatietekeningen (BV-11, 28-04)</t>
        </is>
      </c>
      <c r="C15" s="23" t="inlineStr">
        <is>
          <t>Bijlage 1/3 vs 4</t>
        </is>
      </c>
      <c r="D15" s="29" t="n">
        <v>0.3</v>
      </c>
      <c r="E15" s="30" t="n">
        <v>8000</v>
      </c>
      <c r="F15" s="26">
        <f>D15*E15</f>
        <v/>
      </c>
      <c r="G15" s="31" t="inlineStr">
        <is>
          <t>Ja</t>
        </is>
      </c>
      <c r="H15" s="31" t="n">
        <v>25</v>
      </c>
      <c r="I15" s="26">
        <f>IF(G15="Ja",F15,0)</f>
        <v/>
      </c>
      <c r="J15" s="23" t="inlineStr">
        <is>
          <t>O.a. 0.64 (52 vs 33 m²), 0.44/0.45 douches vs gespreksruimten, 0.47. BBN noemt Bijlage 1 leidend voor te handhaven/slopen wanden. Prijs op BV-11.</t>
        </is>
      </c>
    </row>
    <row r="16">
      <c r="A16" s="23" t="n">
        <v>15</v>
      </c>
      <c r="B16" s="23" t="inlineStr">
        <is>
          <t>Tellingen uit PDF-tekeningen wijken af van de werkelijke aantallen</t>
        </is>
      </c>
      <c r="C16" s="23" t="inlineStr">
        <is>
          <t>Tekeningen E.001, L.0.01, T.0.01</t>
        </is>
      </c>
      <c r="D16" s="29" t="n">
        <v>0.3</v>
      </c>
      <c r="E16" s="30" t="n">
        <v>10000</v>
      </c>
      <c r="F16" s="26">
        <f>D16*E16</f>
        <v/>
      </c>
      <c r="G16" s="31" t="inlineStr">
        <is>
          <t>Ja</t>
        </is>
      </c>
      <c r="H16" s="31" t="n">
        <v>36</v>
      </c>
      <c r="I16" s="26">
        <f>IF(G16="Ja",F16,0)</f>
        <v/>
      </c>
      <c r="J16" s="23" t="inlineStr">
        <is>
          <t>Tellingen zijn visueel/uit tekstlabels. Laat installateurs natellen op DWG (NvI vraag 2).</t>
        </is>
      </c>
    </row>
    <row r="17">
      <c r="A17" s="23" t="n">
        <v>16</v>
      </c>
      <c r="B17" s="23" t="inlineStr">
        <is>
          <t>WKO-capaciteit / inregelen onvoldoende (nooit waterzijdig ingeregeld)</t>
        </is>
      </c>
      <c r="C17" s="23" t="inlineStr">
        <is>
          <t>E&amp;W 4.2.2/7.1</t>
        </is>
      </c>
      <c r="D17" s="29" t="n">
        <v>0.15</v>
      </c>
      <c r="E17" s="30" t="n">
        <v>8000</v>
      </c>
      <c r="F17" s="26">
        <f>D17*E17</f>
        <v/>
      </c>
      <c r="G17" s="31" t="inlineStr">
        <is>
          <t>Nee</t>
        </is>
      </c>
      <c r="H17" s="31" t="n">
        <v>13</v>
      </c>
      <c r="I17" s="26">
        <f>IF(G17="Ja",F17,0)</f>
        <v/>
      </c>
      <c r="J17" s="23" t="inlineStr">
        <is>
          <t>Het bestek stelt dat de aannemer mag uitgaan van voldoende capaciteit, dus dit risico ligt bij de opdrachtgever.</t>
        </is>
      </c>
    </row>
    <row r="18"/>
    <row r="19">
      <c r="B19" s="16" t="inlineStr">
        <is>
          <t>Totaal meegeprijsde risico's</t>
        </is>
      </c>
      <c r="I19" s="28">
        <f>SUM(I2:I17)</f>
        <v/>
      </c>
    </row>
    <row r="20">
      <c r="B20" s="32" t="inlineStr">
        <is>
          <t>Totaal verwachte waarde alle risico's (ter info)</t>
        </is>
      </c>
      <c r="I20" s="20">
        <f>SUM(F2:F17)</f>
        <v/>
      </c>
    </row>
  </sheetData>
  <dataValidations count="1">
    <dataValidation sqref="G2:G17" showDropDown="0" showInputMessage="0" showErrorMessage="0" allowBlank="0" type="list">
      <formula1>"Ja,Nee"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60" customWidth="1" min="1" max="1"/>
    <col width="10" customWidth="1" min="2" max="2"/>
    <col width="14" customWidth="1" min="3" max="3"/>
    <col width="20" customWidth="1" min="4" max="4"/>
    <col width="50" customWidth="1" min="5" max="5"/>
  </cols>
  <sheetData>
    <row r="1">
      <c r="A1" s="4" t="inlineStr">
        <is>
          <t>Verrekenprijzen die E&amp;W apart vraagt (niet in het formulier)</t>
        </is>
      </c>
    </row>
    <row r="2"/>
    <row r="3">
      <c r="A3" s="33" t="inlineStr">
        <is>
          <t>Omschrijving</t>
        </is>
      </c>
      <c r="B3" s="33" t="inlineStr">
        <is>
          <t>Eenh.</t>
        </is>
      </c>
      <c r="C3" s="33" t="inlineStr">
        <is>
          <t>Prijs</t>
        </is>
      </c>
      <c r="D3" s="33" t="inlineStr">
        <is>
          <t>Status</t>
        </is>
      </c>
      <c r="E3" s="33" t="inlineStr">
        <is>
          <t>Bron</t>
        </is>
      </c>
    </row>
    <row r="4">
      <c r="A4" s="18" t="inlineStr">
        <is>
          <t>Herstel isolatie CV-leiding, steenwol 30 mm + alufolie, t/m DN25</t>
        </is>
      </c>
      <c r="B4" s="18" t="inlineStr">
        <is>
          <t>m1</t>
        </is>
      </c>
      <c r="C4" s="34" t="n">
        <v>28</v>
      </c>
      <c r="D4" s="18" t="inlineStr">
        <is>
          <t>Richtprijs</t>
        </is>
      </c>
      <c r="E4" s="18" t="inlineStr">
        <is>
          <t>E&amp;W 5.2 – meerwerk op basis van meterprijs</t>
        </is>
      </c>
    </row>
    <row r="5">
      <c r="A5" s="18" t="inlineStr">
        <is>
          <t>Herstel isolatie CV-leiding, steenwol 30 mm + alufolie, DN32–DN50</t>
        </is>
      </c>
      <c r="B5" s="18" t="inlineStr">
        <is>
          <t>m1</t>
        </is>
      </c>
      <c r="C5" s="34" t="n">
        <v>38</v>
      </c>
      <c r="D5" s="18" t="inlineStr">
        <is>
          <t>Richtprijs</t>
        </is>
      </c>
      <c r="E5" s="18" t="inlineStr">
        <is>
          <t>E&amp;W 5.2</t>
        </is>
      </c>
    </row>
    <row r="6">
      <c r="A6" s="18" t="inlineStr">
        <is>
          <t>Herstel isolatie GKW-leiding Armaflex AF-13/AF-19, t/m DN25</t>
        </is>
      </c>
      <c r="B6" s="18" t="inlineStr">
        <is>
          <t>m1</t>
        </is>
      </c>
      <c r="C6" s="34" t="n">
        <v>32</v>
      </c>
      <c r="D6" s="18" t="inlineStr">
        <is>
          <t>Richtprijs</t>
        </is>
      </c>
      <c r="E6" s="18" t="inlineStr">
        <is>
          <t>E&amp;W 5.2</t>
        </is>
      </c>
    </row>
    <row r="7">
      <c r="A7" s="18" t="inlineStr">
        <is>
          <t>Herstel isolatie GKW-leiding Armaflex AF-19, DN32–DN50</t>
        </is>
      </c>
      <c r="B7" s="18" t="inlineStr">
        <is>
          <t>m1</t>
        </is>
      </c>
      <c r="C7" s="34" t="n">
        <v>44</v>
      </c>
      <c r="D7" s="18" t="inlineStr">
        <is>
          <t>Richtprijs</t>
        </is>
      </c>
      <c r="E7" s="18" t="inlineStr">
        <is>
          <t>E&amp;W 5.2</t>
        </is>
      </c>
    </row>
    <row r="8">
      <c r="A8" s="18" t="inlineStr">
        <is>
          <t>Aansluitsnoer RJ-45 CAT6a afwijkende lengte (3,0 m)</t>
        </is>
      </c>
      <c r="B8" s="18" t="inlineStr">
        <is>
          <t>st</t>
        </is>
      </c>
      <c r="C8" s="34" t="n">
        <v>9</v>
      </c>
      <c r="D8" s="18" t="inlineStr">
        <is>
          <t>Richtprijs</t>
        </is>
      </c>
      <c r="E8" s="18" t="inlineStr">
        <is>
          <t>E&amp;W 11.2.1</t>
        </is>
      </c>
    </row>
    <row r="9">
      <c r="A9" s="18" t="inlineStr">
        <is>
          <t>Aansluitsnoer RJ-45 CAT6a afwijkende lengte (5,0 m)</t>
        </is>
      </c>
      <c r="B9" s="18" t="inlineStr">
        <is>
          <t>st</t>
        </is>
      </c>
      <c r="C9" s="34" t="n">
        <v>12</v>
      </c>
      <c r="D9" s="18" t="inlineStr">
        <is>
          <t>Richtprijs</t>
        </is>
      </c>
      <c r="E9" s="18" t="inlineStr">
        <is>
          <t>E&amp;W 11.2.1</t>
        </is>
      </c>
    </row>
    <row r="10">
      <c r="A10" s="18" t="inlineStr">
        <is>
          <t>Patchsnoer RJ-45 CAT6a afwijkende kleur/lengte</t>
        </is>
      </c>
      <c r="B10" s="18" t="inlineStr">
        <is>
          <t>st</t>
        </is>
      </c>
      <c r="C10" s="34" t="n">
        <v>8</v>
      </c>
      <c r="D10" s="18" t="inlineStr">
        <is>
          <t>Richtprijs</t>
        </is>
      </c>
      <c r="E10" s="18" t="inlineStr">
        <is>
          <t>E&amp;W 11.2.1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5" customWidth="1" min="1" max="1"/>
    <col width="70" customWidth="1" min="2" max="2"/>
    <col width="18" customWidth="1" min="3" max="3"/>
    <col width="70" customWidth="1" min="4" max="4"/>
  </cols>
  <sheetData>
    <row r="1">
      <c r="B1" s="4" t="inlineStr">
        <is>
          <t>Optimalisaties (optioneel, formulierregels 49–51) – tellen niet mee in de gunning</t>
        </is>
      </c>
    </row>
    <row r="2"/>
    <row r="3">
      <c r="A3" s="33" t="inlineStr">
        <is>
          <t>#</t>
        </is>
      </c>
      <c r="B3" s="33" t="inlineStr">
        <is>
          <t>Omschrijving (voordeel t.o.v. basis)</t>
        </is>
      </c>
      <c r="C3" s="33" t="inlineStr">
        <is>
          <t>Indicatie meer/minder</t>
        </is>
      </c>
      <c r="D3" s="33" t="inlineStr">
        <is>
          <t>Toelichting / voorwaarde</t>
        </is>
      </c>
    </row>
    <row r="4">
      <c r="A4" s="18" t="n">
        <v>1</v>
      </c>
      <c r="B4" s="35" t="inlineStr">
        <is>
          <t>Prefab/gestandaardiseerde pantry-units voor alle slaapkamers (één type)</t>
        </is>
      </c>
      <c r="C4" s="36" t="n">
        <v>-6000</v>
      </c>
      <c r="D4" s="35" t="inlineStr">
        <is>
          <t>Minder montage-uren en kortere levertijd. Past binnen HPL/RVS-eisen BBN 3.7.3.</t>
        </is>
      </c>
    </row>
    <row r="5">
      <c r="A5" s="18" t="n">
        <v>2</v>
      </c>
      <c r="B5" s="35" t="inlineStr">
        <is>
          <t>Alternatief fabricaat recirculatie-afzuigkappen (aantoonbaar gelijkwaardig)</t>
        </is>
      </c>
      <c r="C5" s="36" t="n">
        <v>-5000</v>
      </c>
      <c r="D5" s="35" t="inlineStr">
        <is>
          <t>Toegestaan volgens E&amp;W 8.4.6/8.4.7. Gelijkwaardigheid onderbouwen.</t>
        </is>
      </c>
    </row>
    <row r="6">
      <c r="A6" s="18" t="n">
        <v>3</v>
      </c>
      <c r="B6" s="35" t="inlineStr">
        <is>
          <t>Planningsvoorstel: gefaseerde oplevering (eerst zuidvleugel, dan noord)</t>
        </is>
      </c>
      <c r="C6" s="36" t="n">
        <v>0</v>
      </c>
      <c r="D6" s="35" t="inlineStr">
        <is>
          <t>Geen kostenverschil, wel eerder bewoonbaar en minder planningsrisico.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5" customWidth="1" min="1" max="1"/>
    <col width="60" customWidth="1" min="2" max="2"/>
    <col width="45" customWidth="1" min="3" max="3"/>
    <col width="60" customWidth="1" min="4" max="4"/>
  </cols>
  <sheetData>
    <row r="1">
      <c r="A1" s="4" t="inlineStr">
        <is>
          <t>Nota van Inlichtingen TN-606498 (21-09-2026) – antwoorden en verwerking in het model</t>
        </is>
      </c>
    </row>
    <row r="2" ht="30" customHeight="1">
      <c r="A2" s="35" t="inlineStr">
        <is>
          <t>Bron: NvI met antwoorden (14 pagina's, vragen 3–17 en 19–30). Vraag 1 verwijst naar het componentenboek (zie tabblad Componentenboek). Vraag 2 (DWG) en vraag 18 staan niet in het ontvangen document.</t>
        </is>
      </c>
    </row>
    <row r="3"/>
    <row r="4">
      <c r="A4" s="33" t="inlineStr">
        <is>
          <t>#</t>
        </is>
      </c>
      <c r="B4" s="33" t="inlineStr">
        <is>
          <t>Vraag (samengevat)</t>
        </is>
      </c>
      <c r="C4" s="33" t="inlineStr">
        <is>
          <t>Antwoord opdrachtgever</t>
        </is>
      </c>
      <c r="D4" s="33" t="inlineStr">
        <is>
          <t>Verwerking in model</t>
        </is>
      </c>
    </row>
    <row r="5">
      <c r="A5" s="37" t="n">
        <v>1</v>
      </c>
      <c r="B5" s="37" t="inlineStr">
        <is>
          <t>Materiaalboek SPIE / sanitairboek ontbreekt</t>
        </is>
      </c>
      <c r="C5" s="37" t="inlineStr">
        <is>
          <t>Componentenboek toegevoegd</t>
        </is>
      </c>
      <c r="D5" s="37" t="inlineStr">
        <is>
          <t>Fabricaten verwerkt, zie tabblad Componentenboek.</t>
        </is>
      </c>
    </row>
    <row r="6">
      <c r="A6" s="37" t="n">
        <v>2</v>
      </c>
      <c r="B6" s="37" t="inlineStr">
        <is>
          <t>DWG-bestanden?</t>
        </is>
      </c>
      <c r="C6" s="37" t="inlineStr">
        <is>
          <t>Niet in ontvangen document</t>
        </is>
      </c>
      <c r="D6" s="37" t="inlineStr">
        <is>
          <t>Tellingen blijven uit PDF; risicopost € 10.000 gehandhaafd.</t>
        </is>
      </c>
    </row>
    <row r="7">
      <c r="A7" s="37" t="n">
        <v>3</v>
      </c>
      <c r="B7" s="37" t="inlineStr">
        <is>
          <t>Afprijzen lichtplan, warmteverlies, fietsenstalling</t>
        </is>
      </c>
      <c r="C7" s="37" t="inlineStr">
        <is>
          <t>Lichtplan en warmteverliesberekening horen bij de engineering. Fietsenstalling buiten beschouwing.</t>
        </is>
      </c>
      <c r="D7" s="37" t="inlineStr">
        <is>
          <t>E32 = € 0; engineering in E36 ongewijzigd.</t>
        </is>
      </c>
    </row>
    <row r="8">
      <c r="A8" s="37" t="n">
        <v>4</v>
      </c>
      <c r="B8" s="37" t="inlineStr">
        <is>
          <t>Stoot-/inbraakwerendheid wanden</t>
        </is>
      </c>
      <c r="C8" s="37" t="inlineStr">
        <is>
          <t>Hotelstandaard; geen extra inbraakwerendheid wanden; nieuw hang- en sluitwerk SKG2.</t>
        </is>
      </c>
      <c r="D8" s="37" t="inlineStr">
        <is>
          <t>Sluitwerk verhoogd naar € 150/st (SKG2).</t>
        </is>
      </c>
    </row>
    <row r="9">
      <c r="A9" s="37" t="n">
        <v>5</v>
      </c>
      <c r="B9" s="37" t="inlineStr">
        <is>
          <t>59 dB: DnT,A of Rw?</t>
        </is>
      </c>
      <c r="C9" s="37" t="inlineStr">
        <is>
          <t>Alleen bij kantoor- en overlegplekken, zoals omschreven.</t>
        </is>
      </c>
      <c r="D9" s="37" t="inlineStr">
        <is>
          <t>Dubbele frame wand alleen 0.04/0.05/0.62/0.63 (60 m²) – ongewijzigd.</t>
        </is>
      </c>
    </row>
    <row r="10">
      <c r="A10" s="37" t="n">
        <v>6</v>
      </c>
      <c r="B10" s="37" t="inlineStr">
        <is>
          <t>Alle kamerscheidende wanden volledig nieuw?</t>
        </is>
      </c>
      <c r="C10" s="37" t="inlineStr">
        <is>
          <t>Ja, opdrachtgever is zich hiervan bewust.</t>
        </is>
      </c>
      <c r="D10" s="37" t="inlineStr">
        <is>
          <t>300 m1 nieuwe wand tot betondek – ongewijzigd.</t>
        </is>
      </c>
    </row>
    <row r="11">
      <c r="A11" s="37" t="n">
        <v>7</v>
      </c>
      <c r="B11" s="37" t="inlineStr">
        <is>
          <t>Brandklasse gordijnen en tapijt</t>
        </is>
      </c>
      <c r="C11" s="37" t="inlineStr">
        <is>
          <t>Wat gebruikelijk is voor hotelfunctie.</t>
        </is>
      </c>
      <c r="D11" s="37" t="inlineStr">
        <is>
          <t>Gordijnen brandvertragend: € 110/m1.</t>
        </is>
      </c>
    </row>
    <row r="12">
      <c r="A12" s="37" t="n">
        <v>8</v>
      </c>
      <c r="B12" s="37" t="inlineStr">
        <is>
          <t>Planning krap, V&amp;G 4 weken vooraf</t>
        </is>
      </c>
      <c r="C12" s="37" t="inlineStr">
        <is>
          <t>V&amp;G-plan 2 weken vooraf in concept. Uitloop maximaal 6 weken.</t>
        </is>
      </c>
      <c r="D12" s="37" t="inlineStr">
        <is>
          <t>Versnellingsrisico verlaagd (40% × € 10.000); uitvoerder 13 weken.</t>
        </is>
      </c>
    </row>
    <row r="13">
      <c r="A13" s="37" t="n">
        <v>9</v>
      </c>
      <c r="B13" s="37" t="inlineStr">
        <is>
          <t>Parkeren</t>
        </is>
      </c>
      <c r="C13" s="37" t="inlineStr">
        <is>
          <t>Geen plekken op terrein; openbare weg is betaald parkeren.</t>
        </is>
      </c>
      <c r="D13" s="37" t="inlineStr">
        <is>
          <t>Parkeerkosten € 2.600 in ABK.</t>
        </is>
      </c>
    </row>
    <row r="14">
      <c r="A14" s="37" t="n">
        <v>10</v>
      </c>
      <c r="B14" s="37" t="inlineStr">
        <is>
          <t>Type plafond</t>
        </is>
      </c>
      <c r="C14" s="37" t="inlineStr">
        <is>
          <t>60x60 witte tegels.</t>
        </is>
      </c>
      <c r="D14" s="37" t="inlineStr">
        <is>
          <t>Ongewijzigd.</t>
        </is>
      </c>
    </row>
    <row r="15">
      <c r="A15" s="37" t="n">
        <v>11</v>
      </c>
      <c r="B15" s="37" t="inlineStr">
        <is>
          <t>Tapijt + marmoleum combineren?</t>
        </is>
      </c>
      <c r="C15" s="37" t="inlineStr">
        <is>
          <t>Al het tapijt eruit; alle ruimten naadloze marmoleum-achtige afwerking.</t>
        </is>
      </c>
      <c r="D15" s="37" t="inlineStr">
        <is>
          <t>Tapijttegels vervallen; marmoleum 1.050 m².</t>
        </is>
      </c>
    </row>
    <row r="16">
      <c r="A16" s="37" t="n">
        <v>12</v>
      </c>
      <c r="B16" s="37" t="inlineStr">
        <is>
          <t>RVS-keukenkasten i.p.v. HPL?</t>
        </is>
      </c>
      <c r="C16" s="37" t="inlineStr">
        <is>
          <t>Uitgaan van de vraagspecificatie (HPL).</t>
        </is>
      </c>
      <c r="D16" s="37" t="inlineStr">
        <is>
          <t>Ongewijzigd; optimalisatie vervallen.</t>
        </is>
      </c>
    </row>
    <row r="17">
      <c r="A17" s="37" t="n">
        <v>13</v>
      </c>
      <c r="B17" s="37" t="inlineStr">
        <is>
          <t>Meubilair en inrichting?</t>
        </is>
      </c>
      <c r="C17" s="37" t="inlineStr">
        <is>
          <t>Nee.</t>
        </is>
      </c>
      <c r="D17" s="37" t="inlineStr">
        <is>
          <t>Niet meegeprijsd.</t>
        </is>
      </c>
    </row>
    <row r="18">
      <c r="A18" s="37" t="n">
        <v>14</v>
      </c>
      <c r="B18" s="37" t="inlineStr">
        <is>
          <t>HPL-douchecabines i.p.v. metal-stud + tegels?</t>
        </is>
      </c>
      <c r="C18" s="37" t="inlineStr">
        <is>
          <t>Mag in HPL-cabines en -wanden.</t>
        </is>
      </c>
      <c r="D18" s="37" t="inlineStr">
        <is>
          <t>8 HPL-cabines; metal-stud douchewanden en veel tegelwerk vervallen.</t>
        </is>
      </c>
    </row>
    <row r="19">
      <c r="A19" s="37" t="n">
        <v>15</v>
      </c>
      <c r="B19" s="37" t="inlineStr">
        <is>
          <t>08:00–16:00 hard?</t>
        </is>
      </c>
      <c r="C19" s="37" t="inlineStr">
        <is>
          <t>Eerder/later toegestaan mits beperkte geluidsoverlast.</t>
        </is>
      </c>
      <c r="D19" s="37" t="inlineStr">
        <is>
          <t>Productiviteitsrisico verlaagd naar 40%.</t>
        </is>
      </c>
    </row>
    <row r="20">
      <c r="A20" s="37" t="n">
        <v>16</v>
      </c>
      <c r="B20" s="37" t="inlineStr">
        <is>
          <t>Wandtegels douches</t>
        </is>
      </c>
      <c r="C20" s="37" t="inlineStr">
        <is>
          <t>Gebruikelijke kwaliteit, geglazuurd wit.</t>
        </is>
      </c>
      <c r="D20" s="37" t="inlineStr">
        <is>
          <t>€ 92/m², 70 m².</t>
        </is>
      </c>
    </row>
    <row r="21">
      <c r="A21" s="37" t="n">
        <v>17</v>
      </c>
      <c r="B21" s="37" t="inlineStr">
        <is>
          <t>Type en merk vloerafwerking</t>
        </is>
      </c>
      <c r="C21" s="37" t="inlineStr">
        <is>
          <t>Volgens technische omschrijving; merk en type door aannemer.</t>
        </is>
      </c>
      <c r="D21" s="37" t="inlineStr">
        <is>
          <t>Ongewijzigd.</t>
        </is>
      </c>
    </row>
    <row r="22">
      <c r="A22" s="37" t="n">
        <v>19</v>
      </c>
      <c r="B22" s="37" t="inlineStr">
        <is>
          <t>Herstel aansluitingen na sloop wanden</t>
        </is>
      </c>
      <c r="C22" s="37" t="inlineStr">
        <is>
          <t>Beperkt; inschatting door aannemer meenemen in de posten.</t>
        </is>
      </c>
      <c r="D22" s="37" t="inlineStr">
        <is>
          <t>Post herstel € 3.500 toegevoegd in E25.</t>
        </is>
      </c>
    </row>
    <row r="23">
      <c r="A23" s="37" t="n">
        <v>20</v>
      </c>
      <c r="B23" s="37" t="inlineStr">
        <is>
          <t>Merk/type privacyfolie</t>
        </is>
      </c>
      <c r="C23" s="37" t="inlineStr">
        <is>
          <t>Door aannemer.</t>
        </is>
      </c>
      <c r="D23" s="37" t="inlineStr">
        <is>
          <t>Ongewijzigd.</t>
        </is>
      </c>
    </row>
    <row r="24">
      <c r="A24" s="37" t="n">
        <v>21</v>
      </c>
      <c r="B24" s="37" t="inlineStr">
        <is>
          <t>Opslag en transport binnenwanden</t>
        </is>
      </c>
      <c r="C24" s="37" t="inlineStr">
        <is>
          <t>Alleen glazen wanden voor hergebruik op locatie; opslag in overleg, mogelijk in gebouw.</t>
        </is>
      </c>
      <c r="D24" s="37" t="inlineStr">
        <is>
          <t>Omschrijving aangepast; bedrag ongewijzigd.</t>
        </is>
      </c>
    </row>
    <row r="25">
      <c r="A25" s="37" t="n">
        <v>22</v>
      </c>
      <c r="B25" s="37" t="inlineStr">
        <is>
          <t>Opbouw binnenwanden</t>
        </is>
      </c>
      <c r="C25" s="37" t="inlineStr">
        <is>
          <t>Kwaliteitseisen in de omschrijving; technische uitvoering aan aannemer.</t>
        </is>
      </c>
      <c r="D25" s="37" t="inlineStr">
        <is>
          <t>Ongewijzigd.</t>
        </is>
      </c>
    </row>
    <row r="26">
      <c r="A26" s="37" t="n">
        <v>23</v>
      </c>
      <c r="B26" s="37" t="inlineStr">
        <is>
          <t>Rc-waarden gevels</t>
        </is>
      </c>
      <c r="C26" s="37" t="inlineStr">
        <is>
          <t>Na gunning beschikbaar.</t>
        </is>
      </c>
      <c r="D26" s="37" t="inlineStr">
        <is>
          <t>Geen invloed op prijs.</t>
        </is>
      </c>
    </row>
    <row r="27">
      <c r="A27" s="37" t="n">
        <v>24</v>
      </c>
      <c r="B27" s="37" t="inlineStr">
        <is>
          <t>NEN077 = NEN 5077?</t>
        </is>
      </c>
      <c r="C27" s="37" t="inlineStr">
        <is>
          <t>Ja.</t>
        </is>
      </c>
      <c r="D27" s="37" t="inlineStr">
        <is>
          <t>Ongewijzigd.</t>
        </is>
      </c>
    </row>
    <row r="28">
      <c r="A28" s="37" t="n">
        <v>25</v>
      </c>
      <c r="B28" s="37" t="inlineStr">
        <is>
          <t>Type en merk plafond</t>
        </is>
      </c>
      <c r="C28" s="37" t="inlineStr">
        <is>
          <t>60x60 wit; merk en type door aannemer.</t>
        </is>
      </c>
      <c r="D28" s="37" t="inlineStr">
        <is>
          <t>Ongewijzigd.</t>
        </is>
      </c>
    </row>
    <row r="29">
      <c r="A29" s="37" t="n">
        <v>26</v>
      </c>
      <c r="B29" s="37" t="inlineStr">
        <is>
          <t>Brandeis gordijnen</t>
        </is>
      </c>
      <c r="C29" s="37" t="inlineStr">
        <is>
          <t>Zie vraag 7.</t>
        </is>
      </c>
      <c r="D29" s="37" t="inlineStr">
        <is>
          <t>Zie vraag 7.</t>
        </is>
      </c>
    </row>
    <row r="30">
      <c r="A30" s="37" t="n">
        <v>27</v>
      </c>
      <c r="B30" s="37" t="inlineStr">
        <is>
          <t>Post voor keuzes in overleg?</t>
        </is>
      </c>
      <c r="C30" s="37" t="inlineStr">
        <is>
          <t>Basiskeuzes en standaard-RAL in de prijs; bijzondere keuzes kunnen meerkosten geven.</t>
        </is>
      </c>
      <c r="D30" s="37" t="inlineStr">
        <is>
          <t>Geen aparte post; standaard-RAL aangehouden.</t>
        </is>
      </c>
    </row>
    <row r="31">
      <c r="A31" s="37" t="n">
        <v>28</v>
      </c>
      <c r="B31" s="37" t="inlineStr">
        <is>
          <t>Uitvoeringstermijn 3 maanden te kort</t>
        </is>
      </c>
      <c r="C31" s="37" t="inlineStr">
        <is>
          <t>Zie vraag 8.</t>
        </is>
      </c>
      <c r="D31" s="37" t="inlineStr">
        <is>
          <t>Zie vraag 8.</t>
        </is>
      </c>
    </row>
    <row r="32">
      <c r="A32" s="37" t="n">
        <v>29</v>
      </c>
      <c r="B32" s="37" t="inlineStr">
        <is>
          <t>Als vraag 3 (herhaald, 21-09)</t>
        </is>
      </c>
      <c r="C32" s="37" t="inlineStr">
        <is>
          <t>Definitief: lichtplan en warmteverlies in engineering; fietsenstalling buiten beschouwing.</t>
        </is>
      </c>
      <c r="D32" s="37" t="inlineStr">
        <is>
          <t>Zie vraag 3.</t>
        </is>
      </c>
    </row>
    <row r="33">
      <c r="A33" s="37" t="n">
        <v>30</v>
      </c>
      <c r="B33" s="37" t="inlineStr">
        <is>
          <t>Omschrijving nieuw sanitair</t>
        </is>
      </c>
      <c r="C33" s="37" t="inlineStr">
        <is>
          <t>2 standaard wandclosets.</t>
        </is>
      </c>
      <c r="D33" s="37" t="inlineStr">
        <is>
          <t>Post closets 0.66/0.67 aangepast naar € 4.000.</t>
        </is>
      </c>
    </row>
    <row r="34"/>
    <row r="35" ht="30" customHeight="1">
      <c r="A35" s="35" t="inlineStr">
        <is>
          <t>Let op: de NvI noemt Gemeente Wijdemeren als aanbestedende dienst en is gedateerd na de oorspronkelijke sluitingsdatum (18-09). Controleer de actuele sluitingsdatum op TenderNed.</t>
        </is>
      </c>
    </row>
  </sheetData>
  <mergeCells count="2">
    <mergeCell ref="A35:D35"/>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5" customWidth="1" min="1" max="1"/>
    <col width="42" customWidth="1" min="2" max="2"/>
    <col width="48" customWidth="1" min="3" max="3"/>
    <col width="16" customWidth="1" min="4" max="4"/>
    <col width="55" customWidth="1" min="5" max="5"/>
  </cols>
  <sheetData>
    <row r="1">
      <c r="A1" s="4" t="inlineStr">
        <is>
          <t>Componentenboek W-installaties HILV-THEBE22-SPEC-001 rev. 1.0 (SPIE, 12-07-2022) – toepassing op de begane grond</t>
        </is>
      </c>
    </row>
    <row r="2" ht="30" customHeight="1">
      <c r="A2" s="35" t="inlineStr">
        <is>
          <t>Opgesteld voor de verbouwing van de verdiepingen (2022). Volgens E&amp;W 3.6 gelden deze fabricaten ook voor de BG, tenzij de werkomschrijving anders voorschrijft.</t>
        </is>
      </c>
    </row>
    <row r="3"/>
    <row r="4">
      <c r="A4" s="33" t="inlineStr">
        <is>
          <t>Nr</t>
        </is>
      </c>
      <c r="B4" s="33" t="inlineStr">
        <is>
          <t>Component</t>
        </is>
      </c>
      <c r="C4" s="33" t="inlineStr">
        <is>
          <t>Fabricaat / type</t>
        </is>
      </c>
      <c r="D4" s="33" t="inlineStr">
        <is>
          <t>Post</t>
        </is>
      </c>
      <c r="E4" s="33" t="inlineStr">
        <is>
          <t>Verwerking</t>
        </is>
      </c>
    </row>
    <row r="5">
      <c r="A5" s="37" t="n">
        <v>1</v>
      </c>
      <c r="B5" s="37" t="inlineStr">
        <is>
          <t>Keukenmengkraan keukenblokjes kamer</t>
        </is>
      </c>
      <c r="C5" s="37" t="inlineStr">
        <is>
          <t>Levering bouwkundige aannemer</t>
        </is>
      </c>
      <c r="D5" s="37" t="inlineStr">
        <is>
          <t>E28</t>
        </is>
      </c>
      <c r="E5" s="37" t="inlineStr">
        <is>
          <t>Alleen relevant als pantry's water krijgen – zie risico.</t>
        </is>
      </c>
    </row>
    <row r="6">
      <c r="A6" s="37" t="n">
        <v>2</v>
      </c>
      <c r="B6" s="37" t="inlineStr">
        <is>
          <t>Close-in boiler keukenblok kamers</t>
        </is>
      </c>
      <c r="C6" s="37" t="inlineStr">
        <is>
          <t>Inventum Modesto Q10 (10 L, 2 kW)</t>
        </is>
      </c>
      <c r="D6" s="37" t="inlineStr">
        <is>
          <t>—</t>
        </is>
      </c>
      <c r="E6" s="37" t="inlineStr">
        <is>
          <t>Niet op BG-tekeningen; risico pantry's met water (€ 45.000, niet meegeprijsd).</t>
        </is>
      </c>
    </row>
    <row r="7">
      <c r="A7" s="37" t="n">
        <v>3</v>
      </c>
      <c r="B7" s="37" t="inlineStr">
        <is>
          <t>Afvoer-sifoncombinatie keukenblok kamers</t>
        </is>
      </c>
      <c r="C7" s="37" t="inlineStr">
        <is>
          <t>McAlpine o.g.</t>
        </is>
      </c>
      <c r="D7" s="37" t="inlineStr">
        <is>
          <t>—</t>
        </is>
      </c>
      <c r="E7" s="37" t="inlineStr">
        <is>
          <t>Idem.</t>
        </is>
      </c>
    </row>
    <row r="8">
      <c r="A8" s="37" t="n">
        <v>4</v>
      </c>
      <c r="B8" s="37" t="inlineStr">
        <is>
          <t>Douchepaneel douches</t>
        </is>
      </c>
      <c r="C8" s="37" t="inlineStr">
        <is>
          <t>De Melker MC.501229 M-Check</t>
        </is>
      </c>
      <c r="D8" s="37" t="inlineStr">
        <is>
          <t>E14</t>
        </is>
      </c>
      <c r="E8" s="37" t="inlineStr">
        <is>
          <t>Prijs per douche verhoogd naar € 1.450 (compleet paneel).</t>
        </is>
      </c>
    </row>
    <row r="9">
      <c r="A9" s="37" t="n">
        <v>5</v>
      </c>
      <c r="B9" s="37" t="inlineStr">
        <is>
          <t>Wastrog douches/wasruimte</t>
        </is>
      </c>
      <c r="C9" s="37" t="inlineStr">
        <is>
          <t>Intersan Sanilav 3.0 RVS 1200 mm</t>
        </is>
      </c>
      <c r="D9" s="37" t="inlineStr">
        <is>
          <t>E14</t>
        </is>
      </c>
      <c r="E9" s="37" t="inlineStr">
        <is>
          <t>4 wastroggen i.p.v. 8 wastafels (aanname: 2 tappunten per trog).</t>
        </is>
      </c>
    </row>
    <row r="10">
      <c r="A10" s="37" t="n">
        <v>6</v>
      </c>
      <c r="B10" s="37" t="inlineStr">
        <is>
          <t>Afvoerput douches</t>
        </is>
      </c>
      <c r="C10" s="37" t="inlineStr">
        <is>
          <t>Aquaberg 4815 RVS</t>
        </is>
      </c>
      <c r="D10" s="37" t="inlineStr">
        <is>
          <t>E14</t>
        </is>
      </c>
      <c r="E10" s="37" t="inlineStr">
        <is>
          <t>Opgenomen in douche-aansluiting (€ 1.600).</t>
        </is>
      </c>
    </row>
    <row r="11">
      <c r="A11" s="37" t="n">
        <v>7</v>
      </c>
      <c r="B11" s="37" t="inlineStr">
        <is>
          <t>Douchebak 120x90</t>
        </is>
      </c>
      <c r="C11" s="37" t="inlineStr">
        <is>
          <t>Wisa Wavedesign o.g.</t>
        </is>
      </c>
      <c r="D11" s="37" t="inlineStr">
        <is>
          <t>—</t>
        </is>
      </c>
      <c r="E11" s="37" t="inlineStr">
        <is>
          <t>BBN schrijft tegelvloer met afschot voor → niet meegeprijsd.</t>
        </is>
      </c>
    </row>
    <row r="12">
      <c r="A12" s="37" t="n">
        <v>9</v>
      </c>
      <c r="B12" s="37" t="inlineStr">
        <is>
          <t>MIVA-WC</t>
        </is>
      </c>
      <c r="C12" s="37" t="inlineStr">
        <is>
          <t>Geberit 300 comfort verlengd + Duofix + Linido</t>
        </is>
      </c>
      <c r="D12" s="37" t="inlineStr">
        <is>
          <t>E14</t>
        </is>
      </c>
      <c r="E12" s="37" t="inlineStr">
        <is>
          <t>MIVA-toiletruimte 0.72 (WC-02 op T.0.01).</t>
        </is>
      </c>
    </row>
    <row r="13">
      <c r="A13" s="37" t="n">
        <v>10</v>
      </c>
      <c r="B13" s="37" t="inlineStr">
        <is>
          <t>MIVA-douche</t>
        </is>
      </c>
      <c r="C13" s="37" t="inlineStr">
        <is>
          <t>De Melker + Grohe Relexa + Linido douchezit</t>
        </is>
      </c>
      <c r="D13" s="37" t="inlineStr">
        <is>
          <t>—</t>
        </is>
      </c>
      <c r="E13" s="37" t="inlineStr">
        <is>
          <t>Geen MIVA-douche op BG-tekeningen.</t>
        </is>
      </c>
    </row>
    <row r="14">
      <c r="A14" s="37" t="n">
        <v>11</v>
      </c>
      <c r="B14" s="37" t="inlineStr">
        <is>
          <t>MIVA-wastafel</t>
        </is>
      </c>
      <c r="C14" s="37" t="inlineStr">
        <is>
          <t>Geberit 300 comfort + Hansgrohe Care</t>
        </is>
      </c>
      <c r="D14" s="37" t="inlineStr">
        <is>
          <t>E14</t>
        </is>
      </c>
      <c r="E14" s="37" t="inlineStr">
        <is>
          <t>MIVA-toiletruimte 0.72 (WT-02 op T.0.01).</t>
        </is>
      </c>
    </row>
    <row r="15">
      <c r="A15" s="37" t="n">
        <v>12</v>
      </c>
      <c r="B15" s="37" t="inlineStr">
        <is>
          <t>Uitstortgootsteen</t>
        </is>
      </c>
      <c r="C15" s="37" t="inlineStr">
        <is>
          <t>Alape AG.Contra 505 + Daalderop</t>
        </is>
      </c>
      <c r="D15" s="37" t="inlineStr">
        <is>
          <t>—</t>
        </is>
      </c>
      <c r="E15" s="37" t="inlineStr">
        <is>
          <t>3e verdieping; UG-01 op BG bestaand.</t>
        </is>
      </c>
    </row>
    <row r="16">
      <c r="A16" s="37" t="n">
        <v>13</v>
      </c>
      <c r="B16" s="37" t="inlineStr">
        <is>
          <t>Centrale tapwateropstelling</t>
        </is>
      </c>
      <c r="C16" s="37" t="inlineStr">
        <is>
          <t>2× Mitsubishi Q-Ton 30 kW + 3× Lapesa 1500 L</t>
        </is>
      </c>
      <c r="D16" s="37" t="inlineStr">
        <is>
          <t>—</t>
        </is>
      </c>
      <c r="E16" s="37" t="inlineStr">
        <is>
          <t>Bestaand, blijft gehandhaafd.</t>
        </is>
      </c>
    </row>
    <row r="17">
      <c r="A17" s="37" t="n">
        <v>14</v>
      </c>
      <c r="B17" s="37" t="inlineStr">
        <is>
          <t>Constant-volumeregelaar</t>
        </is>
      </c>
      <c r="C17" s="37" t="inlineStr">
        <is>
          <t>Solid Air VCMHAR dubbelwandig</t>
        </is>
      </c>
      <c r="D17" s="37" t="inlineStr">
        <is>
          <t>—</t>
        </is>
      </c>
      <c r="E17" s="37" t="inlineStr">
        <is>
          <t>Niet in E&amp;W/L.0.01 → risico (niet meegeprijsd).</t>
        </is>
      </c>
    </row>
    <row r="18">
      <c r="A18" s="37" t="n">
        <v>15</v>
      </c>
      <c r="B18" s="37" t="inlineStr">
        <is>
          <t>Toevoerrooster fancoils</t>
        </is>
      </c>
      <c r="C18" s="37" t="inlineStr">
        <is>
          <t>Solid Air RTBMOR 450</t>
        </is>
      </c>
      <c r="D18" s="37" t="inlineStr">
        <is>
          <t>E15</t>
        </is>
      </c>
      <c r="E18" s="37" t="inlineStr">
        <is>
          <t>In roosterpost.</t>
        </is>
      </c>
    </row>
    <row r="19">
      <c r="A19" s="37" t="n">
        <v>16</v>
      </c>
      <c r="B19" s="37" t="inlineStr">
        <is>
          <t>Recirculatierooster fancoils</t>
        </is>
      </c>
      <c r="C19" s="37" t="inlineStr">
        <is>
          <t>Solid Air RRBMOR 450</t>
        </is>
      </c>
      <c r="D19" s="37" t="inlineStr">
        <is>
          <t>E15</t>
        </is>
      </c>
      <c r="E19" s="37" t="inlineStr">
        <is>
          <t>In roosterpost.</t>
        </is>
      </c>
    </row>
    <row r="20">
      <c r="A20" s="37" t="n">
        <v>17</v>
      </c>
      <c r="B20" s="37" t="inlineStr">
        <is>
          <t>Verlaagde plenumbox fancoils</t>
        </is>
      </c>
      <c r="C20" s="37" t="inlineStr">
        <is>
          <t>Solid Air model 450</t>
        </is>
      </c>
      <c r="D20" s="37" t="inlineStr">
        <is>
          <t>E15</t>
        </is>
      </c>
      <c r="E20" s="37" t="inlineStr">
        <is>
          <t>Nieuwe post: 34 × € 260.</t>
        </is>
      </c>
    </row>
    <row r="21">
      <c r="A21" s="37" t="n">
        <v>18</v>
      </c>
      <c r="B21" s="37" t="inlineStr">
        <is>
          <t>Toevoerrooster LBK</t>
        </is>
      </c>
      <c r="C21" s="37" t="inlineStr">
        <is>
          <t>Solid Air CTVM</t>
        </is>
      </c>
      <c r="D21" s="37" t="inlineStr">
        <is>
          <t>E15</t>
        </is>
      </c>
      <c r="E21" s="37" t="inlineStr">
        <is>
          <t>In roosterpost.</t>
        </is>
      </c>
    </row>
    <row r="22">
      <c r="A22" s="37" t="n">
        <v>19</v>
      </c>
      <c r="B22" s="37" t="inlineStr">
        <is>
          <t>Afvoerrooster LBK</t>
        </is>
      </c>
      <c r="C22" s="37" t="inlineStr">
        <is>
          <t>Solid Air CRVM</t>
        </is>
      </c>
      <c r="D22" s="37" t="inlineStr">
        <is>
          <t>E15</t>
        </is>
      </c>
      <c r="E22" s="37" t="inlineStr">
        <is>
          <t>In roosterpost.</t>
        </is>
      </c>
    </row>
    <row r="23">
      <c r="A23" s="37" t="n">
        <v>20</v>
      </c>
      <c r="B23" s="37" t="inlineStr">
        <is>
          <t>Akoestische slang</t>
        </is>
      </c>
      <c r="C23" s="37" t="inlineStr">
        <is>
          <t>Sonodec 25</t>
        </is>
      </c>
      <c r="D23" s="37" t="inlineStr">
        <is>
          <t>E15</t>
        </is>
      </c>
      <c r="E23" s="37" t="inlineStr">
        <is>
          <t>In roosterpost.</t>
        </is>
      </c>
    </row>
    <row r="24">
      <c r="A24" s="37" t="n">
        <v>21</v>
      </c>
      <c r="B24" s="37" t="inlineStr">
        <is>
          <t>Brandklep motorbediend</t>
        </is>
      </c>
      <c r="C24" s="37" t="inlineStr">
        <is>
          <t>Solid Air FDC25 24 V DC</t>
        </is>
      </c>
      <c r="D24" s="37" t="inlineStr">
        <is>
          <t>E15</t>
        </is>
      </c>
      <c r="E24" s="37" t="inlineStr">
        <is>
          <t>Typeconflict E&amp;W opgelost: FDC25.</t>
        </is>
      </c>
    </row>
    <row r="25">
      <c r="A25" s="37" t="n">
        <v>22</v>
      </c>
      <c r="B25" s="37" t="inlineStr">
        <is>
          <t>Binnenriolering geluidgedempt</t>
        </is>
      </c>
      <c r="C25" s="37" t="inlineStr">
        <is>
          <t>Dyka Sono</t>
        </is>
      </c>
      <c r="D25" s="37" t="inlineStr">
        <is>
          <t>E14</t>
        </is>
      </c>
      <c r="E25" s="37" t="inlineStr">
        <is>
          <t>Conform E&amp;W 6.1.3.</t>
        </is>
      </c>
    </row>
    <row r="26">
      <c r="A26" s="37" t="n">
        <v>23</v>
      </c>
      <c r="B26" s="37" t="inlineStr">
        <is>
          <t>Tapkraan wasmachine</t>
        </is>
      </c>
      <c r="C26" s="37" t="inlineStr">
        <is>
          <t>Springer N300A034T</t>
        </is>
      </c>
      <c r="D26" s="37" t="inlineStr">
        <is>
          <t>E14</t>
        </is>
      </c>
      <c r="E26" s="37" t="inlineStr">
        <is>
          <t>In wasmachine-aansluiting.</t>
        </is>
      </c>
    </row>
    <row r="27">
      <c r="A27" s="37" t="n">
        <v>24</v>
      </c>
      <c r="B27" s="37" t="inlineStr">
        <is>
          <t>Ruimtebedienapparaat fancoil</t>
        </is>
      </c>
      <c r="C27" s="37" t="inlineStr">
        <is>
          <t>CIAT RTR-E 7203</t>
        </is>
      </c>
      <c r="D27" s="37" t="inlineStr">
        <is>
          <t>E13</t>
        </is>
      </c>
      <c r="E27" s="37" t="inlineStr">
        <is>
          <t>Conflict met E&amp;W (99DAsei) – prijs gelijk gehouden.</t>
        </is>
      </c>
    </row>
  </sheetData>
  <mergeCells count="1">
    <mergeCell ref="A2:E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45" customWidth="1" min="1" max="1"/>
    <col width="12" customWidth="1" min="2" max="2"/>
    <col width="30" customWidth="1" min="3" max="3"/>
    <col width="55" customWidth="1" min="4" max="4"/>
    <col width="20" customWidth="1" min="5" max="5"/>
  </cols>
  <sheetData>
    <row r="1">
      <c r="A1" s="4" t="inlineStr">
        <is>
          <t>Tellingen uit de tekeningen (versie 2)</t>
        </is>
      </c>
    </row>
    <row r="2"/>
    <row r="3">
      <c r="A3" s="33" t="inlineStr">
        <is>
          <t>Onderdeel</t>
        </is>
      </c>
      <c r="B3" s="33" t="inlineStr">
        <is>
          <t>Aantal</t>
        </is>
      </c>
      <c r="C3" s="33" t="inlineStr">
        <is>
          <t>Tekening</t>
        </is>
      </c>
      <c r="D3" s="33" t="inlineStr">
        <is>
          <t>Toelichting</t>
        </is>
      </c>
      <c r="E3" s="33" t="inlineStr">
        <is>
          <t>Zekerheid</t>
        </is>
      </c>
    </row>
    <row r="4">
      <c r="A4" s="37" t="inlineStr">
        <is>
          <t>Bewonerskamers</t>
        </is>
      </c>
      <c r="B4" s="37" t="inlineStr">
        <is>
          <t>29</t>
        </is>
      </c>
      <c r="C4" s="37" t="inlineStr">
        <is>
          <t>L.0.01-A/B, E.001</t>
        </is>
      </c>
      <c r="D4" s="37" t="inlineStr">
        <is>
          <t>17 in deel A (0.07–0.23), 12 in deel B (0.49–0.56, 0.50a, 0.74–0.76)</t>
        </is>
      </c>
      <c r="E4" s="37" t="inlineStr">
        <is>
          <t>Hoog</t>
        </is>
      </c>
    </row>
    <row r="5">
      <c r="A5" s="37" t="inlineStr">
        <is>
          <t>Fancoils benodigd</t>
        </is>
      </c>
      <c r="B5" s="37" t="inlineStr">
        <is>
          <t>34</t>
        </is>
      </c>
      <c r="C5" s="37" t="inlineStr">
        <is>
          <t>L.0.01-A/B</t>
        </is>
      </c>
      <c r="D5" s="37" t="inlineStr">
        <is>
          <t>1 per kamer (29) + 3 keuken 0.24 + 1 keuken 0.64 + 1 personeelsruimte 0.73</t>
        </is>
      </c>
      <c r="E5" s="37" t="inlineStr">
        <is>
          <t>Middel</t>
        </is>
      </c>
    </row>
    <row r="6">
      <c r="A6" s="37" t="inlineStr">
        <is>
          <t>Fancoils bestaand (demontage)</t>
        </is>
      </c>
      <c r="B6" s="37" t="inlineStr">
        <is>
          <t>29</t>
        </is>
      </c>
      <c r="C6" s="37" t="inlineStr">
        <is>
          <t>D.0.01-A/B</t>
        </is>
      </c>
      <c r="D6" s="37" t="inlineStr">
        <is>
          <t>19 in deel A, 10 in deel B</t>
        </is>
      </c>
      <c r="E6" s="37" t="inlineStr">
        <is>
          <t>Middel</t>
        </is>
      </c>
    </row>
    <row r="7">
      <c r="A7" s="37" t="inlineStr">
        <is>
          <t>Kanaalverwarmers/-koelers</t>
        </is>
      </c>
      <c r="B7" s="37" t="inlineStr">
        <is>
          <t>6</t>
        </is>
      </c>
      <c r="C7" s="37" t="inlineStr">
        <is>
          <t>E&amp;W 7.1, L.0.01</t>
        </is>
      </c>
      <c r="D7" s="37" t="inlineStr">
        <is>
          <t>0.04, 0.05, 0.44, 0.45, 0.62, 0.63</t>
        </is>
      </c>
      <c r="E7" s="37" t="inlineStr">
        <is>
          <t>Middel</t>
        </is>
      </c>
    </row>
    <row r="8">
      <c r="A8" s="37" t="inlineStr">
        <is>
          <t>Brandkleppen</t>
        </is>
      </c>
      <c r="B8" s="37" t="inlineStr">
        <is>
          <t>ca. 64</t>
        </is>
      </c>
      <c r="C8" s="37" t="inlineStr">
        <is>
          <t>L.0.01, E.001</t>
        </is>
      </c>
      <c r="D8" s="37" t="inlineStr">
        <is>
          <t>2 per kamer + ca. 6 in 60-min scheidingen</t>
        </is>
      </c>
      <c r="E8" s="37" t="inlineStr">
        <is>
          <t>Middel</t>
        </is>
      </c>
    </row>
    <row r="9">
      <c r="A9" s="37" t="inlineStr">
        <is>
          <t>Roosters</t>
        </is>
      </c>
      <c r="B9" s="37" t="inlineStr">
        <is>
          <t>ca. 230</t>
        </is>
      </c>
      <c r="C9" s="37" t="inlineStr">
        <is>
          <t>L.0.01-A/B</t>
        </is>
      </c>
      <c r="D9" s="37" t="inlineStr">
        <is>
          <t>6 per kamer + keukens/overige ruimten</t>
        </is>
      </c>
      <c r="E9" s="37" t="inlineStr">
        <is>
          <t>Laag</t>
        </is>
      </c>
    </row>
    <row r="10">
      <c r="A10" s="37" t="inlineStr">
        <is>
          <t>Douches</t>
        </is>
      </c>
      <c r="B10" s="37" t="inlineStr">
        <is>
          <t>10</t>
        </is>
      </c>
      <c r="C10" s="37" t="inlineStr">
        <is>
          <t>T.0.01</t>
        </is>
      </c>
      <c r="D10" s="37" t="inlineStr">
        <is>
          <t>4 in 0.42, 4 in 0.37, 2 in 0.70/0.71</t>
        </is>
      </c>
      <c r="E10" s="37" t="inlineStr">
        <is>
          <t>Hoog</t>
        </is>
      </c>
    </row>
    <row r="11">
      <c r="A11" s="37" t="inlineStr">
        <is>
          <t>Wastafels</t>
        </is>
      </c>
      <c r="B11" s="37" t="inlineStr">
        <is>
          <t>8</t>
        </is>
      </c>
      <c r="C11" s="37" t="inlineStr">
        <is>
          <t>T.0.01</t>
        </is>
      </c>
      <c r="D11" s="37" t="inlineStr">
        <is>
          <t>4 in 0.42, 4 in 0.37</t>
        </is>
      </c>
      <c r="E11" s="37" t="inlineStr">
        <is>
          <t>Hoog</t>
        </is>
      </c>
    </row>
    <row r="12">
      <c r="A12" s="37" t="inlineStr">
        <is>
          <t>Tappunten aanrecht</t>
        </is>
      </c>
      <c r="B12" s="37" t="inlineStr">
        <is>
          <t>7</t>
        </is>
      </c>
      <c r="C12" s="37" t="inlineStr">
        <is>
          <t>T.0.01</t>
        </is>
      </c>
      <c r="D12" s="37" t="inlineStr">
        <is>
          <t>3 in 0.24, 3 in 0.64, 1 pantry 0.01</t>
        </is>
      </c>
      <c r="E12" s="37" t="inlineStr">
        <is>
          <t>Middel</t>
        </is>
      </c>
    </row>
    <row r="13">
      <c r="A13" s="37" t="inlineStr">
        <is>
          <t>Wasmachines / drogers</t>
        </is>
      </c>
      <c r="B13" s="37" t="inlineStr">
        <is>
          <t>4 / 3</t>
        </is>
      </c>
      <c r="C13" s="37" t="inlineStr">
        <is>
          <t>T.0.01, E.001</t>
        </is>
      </c>
      <c r="D13" s="37" t="inlineStr">
        <is>
          <t>wm/wd in 0.57</t>
        </is>
      </c>
      <c r="E13" s="37" t="inlineStr">
        <is>
          <t>Hoog</t>
        </is>
      </c>
    </row>
    <row r="14">
      <c r="A14" s="37" t="inlineStr">
        <is>
          <t>Water naar kamers (pantry)</t>
        </is>
      </c>
      <c r="B14" s="37" t="inlineStr">
        <is>
          <t>0</t>
        </is>
      </c>
      <c r="C14" s="37" t="inlineStr">
        <is>
          <t>T.0.01, R.0.01</t>
        </is>
      </c>
      <c r="D14" s="37" t="inlineStr">
        <is>
          <t>Alleen koelkast (kk) per kamer</t>
        </is>
      </c>
      <c r="E14" s="37" t="inlineStr">
        <is>
          <t>Hoog</t>
        </is>
      </c>
    </row>
    <row r="15">
      <c r="A15" s="37" t="inlineStr">
        <is>
          <t>Nieuwe VWA kelder</t>
        </is>
      </c>
      <c r="B15" s="37" t="inlineStr">
        <is>
          <t>ca. 40 m</t>
        </is>
      </c>
      <c r="C15" s="37" t="inlineStr">
        <is>
          <t>R.-1.01</t>
        </is>
      </c>
      <c r="D15" s="37" t="inlineStr">
        <is>
          <t>Van keuken/badruimten naar vetafscheider</t>
        </is>
      </c>
      <c r="E15" s="37" t="inlineStr">
        <is>
          <t>Laag</t>
        </is>
      </c>
    </row>
    <row r="16">
      <c r="A16" s="37" t="inlineStr">
        <is>
          <t>Armaturen</t>
        </is>
      </c>
      <c r="B16" s="37" t="inlineStr">
        <is>
          <t>ca. 215</t>
        </is>
      </c>
      <c r="C16" s="37" t="inlineStr">
        <is>
          <t>E.001</t>
        </is>
      </c>
      <c r="D16" s="37" t="inlineStr">
        <is>
          <t>A1 92, E1 16, E2 20, F 8, W 9, H + typische kamers doorgerekend</t>
        </is>
      </c>
      <c r="E16" s="37" t="inlineStr">
        <is>
          <t>Laag</t>
        </is>
      </c>
    </row>
    <row r="17">
      <c r="A17" s="37" t="inlineStr">
        <is>
          <t>Noodverlichting</t>
        </is>
      </c>
      <c r="B17" s="37" t="inlineStr">
        <is>
          <t>ca. 25</t>
        </is>
      </c>
      <c r="C17" s="37" t="inlineStr">
        <is>
          <t>E.001</t>
        </is>
      </c>
      <c r="D17" s="37" t="inlineStr">
        <is>
          <t>11 NV/NV1-punten + pictogrammen</t>
        </is>
      </c>
      <c r="E17" s="37" t="inlineStr">
        <is>
          <t>Laag</t>
        </is>
      </c>
    </row>
    <row r="18">
      <c r="A18" s="37" t="inlineStr">
        <is>
          <t>Wandcontactdozen</t>
        </is>
      </c>
      <c r="B18" s="37" t="inlineStr">
        <is>
          <t>ca. 95</t>
        </is>
      </c>
      <c r="C18" s="37" t="inlineStr">
        <is>
          <t>E.001</t>
        </is>
      </c>
      <c r="D18" s="37" t="inlineStr">
        <is>
          <t>KK, 3O, Alg., WM, DR</t>
        </is>
      </c>
      <c r="E18" s="37" t="inlineStr">
        <is>
          <t>Laag</t>
        </is>
      </c>
    </row>
    <row r="19">
      <c r="A19" s="37" t="inlineStr">
        <is>
          <t>Kooktoestel / afzuigkap-aansluitingen</t>
        </is>
      </c>
      <c r="B19" s="37" t="inlineStr">
        <is>
          <t>7 / 7</t>
        </is>
      </c>
      <c r="C19" s="37" t="inlineStr">
        <is>
          <t>E.001</t>
        </is>
      </c>
      <c r="D19" s="37" t="inlineStr">
        <is>
          <t>KT en AK</t>
        </is>
      </c>
      <c r="E19" s="37" t="inlineStr">
        <is>
          <t>Hoog</t>
        </is>
      </c>
    </row>
    <row r="20">
      <c r="A20" s="37" t="inlineStr">
        <is>
          <t>Data / Wi-Fi</t>
        </is>
      </c>
      <c r="B20" s="37" t="inlineStr">
        <is>
          <t>8 / 12</t>
        </is>
      </c>
      <c r="C20" s="37" t="inlineStr">
        <is>
          <t>E.001</t>
        </is>
      </c>
      <c r="D20" s="37" t="inlineStr">
        <is>
          <t>D en Wi-Fi-codes</t>
        </is>
      </c>
      <c r="E20" s="37" t="inlineStr">
        <is>
          <t>Hoog</t>
        </is>
      </c>
    </row>
    <row r="21">
      <c r="A21" s="37" t="inlineStr">
        <is>
          <t>BMI: handmelders / sirenes / automatische melders</t>
        </is>
      </c>
      <c r="B21" s="37" t="inlineStr">
        <is>
          <t>4 / ca. 35 / ca. 24</t>
        </is>
      </c>
      <c r="C21" s="37" t="inlineStr">
        <is>
          <t>E.001</t>
        </is>
      </c>
      <c r="D21" s="37" t="inlineStr">
        <is>
          <t>HBM; SW-combinaties; R en R/SW</t>
        </is>
      </c>
      <c r="E21" s="37" t="inlineStr">
        <is>
          <t>Middel</t>
        </is>
      </c>
    </row>
    <row r="22">
      <c r="A22" s="37" t="inlineStr">
        <is>
          <t>Kaartlezers / elektrische sluitplaten</t>
        </is>
      </c>
      <c r="B22" s="37" t="inlineStr">
        <is>
          <t>3 / 2</t>
        </is>
      </c>
      <c r="C22" s="37" t="inlineStr">
        <is>
          <t>E.001</t>
        </is>
      </c>
      <c r="D22" s="37" t="inlineStr">
        <is>
          <t>Wijkt af van BBN 3.4.2 (ES per kamerdeur)</t>
        </is>
      </c>
      <c r="E22" s="37" t="inlineStr">
        <is>
          <t>Hoog</t>
        </is>
      </c>
    </row>
    <row r="23">
      <c r="A23" s="37" t="inlineStr">
        <is>
          <t>Scheidingen 30 min WBDBO</t>
        </is>
      </c>
      <c r="B23" s="37" t="inlineStr">
        <is>
          <t>ca. 329 m1</t>
        </is>
      </c>
      <c r="C23" s="37" t="inlineStr">
        <is>
          <t>Bijlage 4 (BV-11)</t>
        </is>
      </c>
      <c r="D23" s="37" t="inlineStr">
        <is>
          <t>Gemeten op groene scheidingslijnen; ca. 320 m1 nieuwe wand</t>
        </is>
      </c>
      <c r="E23" s="37" t="inlineStr">
        <is>
          <t>Middel</t>
        </is>
      </c>
    </row>
    <row r="24">
      <c r="A24" s="37" t="inlineStr">
        <is>
          <t>Scheidingen 60 min WBDBO</t>
        </is>
      </c>
      <c r="B24" s="37" t="inlineStr">
        <is>
          <t>ca. 96 m1</t>
        </is>
      </c>
      <c r="C24" s="37" t="inlineStr">
        <is>
          <t>Bijlage 4 (BV-11)</t>
        </is>
      </c>
      <c r="D24" s="37" t="inlineStr">
        <is>
          <t>Grotendeels bestaand (kernen, compartimentsgrenzen)</t>
        </is>
      </c>
      <c r="E24" s="37" t="inlineStr">
        <is>
          <t>Middel</t>
        </is>
      </c>
    </row>
    <row r="25">
      <c r="A25" s="37" t="inlineStr">
        <is>
          <t>Vloer: tapijt → marmoleum</t>
        </is>
      </c>
      <c r="B25" s="37" t="inlineStr">
        <is>
          <t>939 m²</t>
        </is>
      </c>
      <c r="C25" s="37" t="inlineStr">
        <is>
          <t>Bijlage 3</t>
        </is>
      </c>
      <c r="D25" s="37" t="inlineStr">
        <is>
          <t>Gemeten op kleurvlakken; NvI 11: wordt marmoleum</t>
        </is>
      </c>
      <c r="E25" s="37" t="inlineStr">
        <is>
          <t>Hoog</t>
        </is>
      </c>
    </row>
    <row r="26">
      <c r="A26" s="37" t="inlineStr">
        <is>
          <t>Vloer: marmoleum</t>
        </is>
      </c>
      <c r="B26" s="37" t="inlineStr">
        <is>
          <t>103 m²</t>
        </is>
      </c>
      <c r="C26" s="37" t="inlineStr">
        <is>
          <t>Bijlage 3</t>
        </is>
      </c>
      <c r="D26" s="37" t="inlineStr">
        <is>
          <t>Pantry's, keuken 0.64, wasruimte</t>
        </is>
      </c>
      <c r="E26" s="37" t="inlineStr">
        <is>
          <t>Hoog</t>
        </is>
      </c>
    </row>
    <row r="27">
      <c r="A27" s="37" t="inlineStr">
        <is>
          <t>Vloer: tegels</t>
        </is>
      </c>
      <c r="B27" s="37" t="inlineStr">
        <is>
          <t>76 m²</t>
        </is>
      </c>
      <c r="C27" s="37" t="inlineStr">
        <is>
          <t>Bijlage 3</t>
        </is>
      </c>
      <c r="D27" s="37" t="inlineStr">
        <is>
          <t>Incl. bestaande toilettegels (blijven)</t>
        </is>
      </c>
      <c r="E27" s="37" t="inlineStr">
        <is>
          <t>Hoog</t>
        </is>
      </c>
    </row>
    <row r="28">
      <c r="A28" s="37" t="inlineStr">
        <is>
          <t>Vloer: terrazzo (behouden)</t>
        </is>
      </c>
      <c r="B28" s="37" t="inlineStr">
        <is>
          <t>32 m²</t>
        </is>
      </c>
      <c r="C28" s="37" t="inlineStr">
        <is>
          <t>Bijlage 3</t>
        </is>
      </c>
      <c r="D28" s="37" t="inlineStr">
        <is>
          <t>Gangen 0.26 en 0.61</t>
        </is>
      </c>
      <c r="E28" s="37" t="inlineStr">
        <is>
          <t>Hoog</t>
        </is>
      </c>
    </row>
    <row r="29">
      <c r="A29" s="37" t="inlineStr">
        <is>
          <t>Glazen puien hergebruik + folie</t>
        </is>
      </c>
      <c r="B29" s="37" t="inlineStr">
        <is>
          <t>ca. 90 m²</t>
        </is>
      </c>
      <c r="C29" s="37" t="inlineStr">
        <is>
          <t>Bijlage 4</t>
        </is>
      </c>
      <c r="D29" s="37" t="inlineStr">
        <is>
          <t>0.44/0.45, 0.62/0.63 (halzijde), 0.64</t>
        </is>
      </c>
      <c r="E29" s="37" t="inlineStr">
        <is>
          <t>Laag</t>
        </is>
      </c>
    </row>
    <row r="30">
      <c r="A30" s="37" t="inlineStr">
        <is>
          <t>Douches in 0.37/0.42</t>
        </is>
      </c>
      <c r="B30" s="37" t="inlineStr">
        <is>
          <t>8 (waarvan 2 van 2,3 m²)</t>
        </is>
      </c>
      <c r="C30" s="37" t="inlineStr">
        <is>
          <t>Bijlage 1</t>
        </is>
      </c>
      <c r="D30" s="37" t="inlineStr">
        <is>
          <t>0.38–0.46; mogelijk 2 MIVA-douches (componentenboek nr. 10)</t>
        </is>
      </c>
      <c r="E30" s="37" t="inlineStr">
        <is>
          <t>Middel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2026-09-30T10:27:26Z</dcterms:created>
  <dcterms:modified xsi:type="dcterms:W3CDTF">2026-09-30T10:27:26Z</dcterms:modified>
</cp:coreProperties>
</file>