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nschrijfformulier" sheetId="1" state="visible" r:id="rId1"/>
  </sheets>
  <definedNames>
    <definedName name="_xlnm.Print_Area" localSheetId="0">'Inschrijfformulier'!$B$3:$E$87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 &quot;€&quot;\ * #,##0_ ;_ &quot;€&quot;\ * \-#,##0_ ;_ &quot;€&quot;\ * &quot;-&quot;_ ;_ @_ 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4"/>
      <sz val="10"/>
      <scheme val="minor"/>
    </font>
    <font>
      <name val="Calibri"/>
      <family val="2"/>
      <color theme="1"/>
      <sz val="9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1" fillId="0" borderId="0"/>
  </cellStyleXfs>
  <cellXfs count="56">
    <xf numFmtId="0" fontId="0" fillId="0" borderId="0" pivotButton="0" quotePrefix="0" xfId="0"/>
    <xf numFmtId="0" fontId="18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34" borderId="13" applyAlignment="1" pivotButton="0" quotePrefix="0" xfId="0">
      <alignment vertical="center"/>
    </xf>
    <xf numFmtId="0" fontId="18" fillId="34" borderId="14" applyAlignment="1" pivotButton="0" quotePrefix="0" xfId="0">
      <alignment vertical="center"/>
    </xf>
    <xf numFmtId="0" fontId="18" fillId="35" borderId="13" applyAlignment="1" pivotButton="0" quotePrefix="0" xfId="0">
      <alignment vertical="center"/>
    </xf>
    <xf numFmtId="0" fontId="18" fillId="35" borderId="14" applyAlignment="1" pivotButton="0" quotePrefix="0" xfId="0">
      <alignment vertical="center"/>
    </xf>
    <xf numFmtId="0" fontId="18" fillId="35" borderId="15" applyAlignment="1" pivotButton="0" quotePrefix="0" xfId="0">
      <alignment vertical="center"/>
    </xf>
    <xf numFmtId="164" fontId="18" fillId="35" borderId="10" applyAlignment="1" pivotButton="0" quotePrefix="0" xfId="0">
      <alignment vertical="center"/>
    </xf>
    <xf numFmtId="0" fontId="18" fillId="0" borderId="13" applyAlignment="1" pivotButton="0" quotePrefix="0" xfId="0">
      <alignment vertical="center"/>
    </xf>
    <xf numFmtId="0" fontId="18" fillId="0" borderId="14" applyAlignment="1" pivotButton="0" quotePrefix="0" xfId="0">
      <alignment horizontal="left" vertical="center" indent="1"/>
    </xf>
    <xf numFmtId="0" fontId="18" fillId="0" borderId="15" applyAlignment="1" pivotButton="0" quotePrefix="0" xfId="0">
      <alignment vertical="center"/>
    </xf>
    <xf numFmtId="0" fontId="20" fillId="0" borderId="19" applyAlignment="1" pivotButton="0" quotePrefix="0" xfId="0">
      <alignment horizontal="left" indent="1"/>
    </xf>
    <xf numFmtId="0" fontId="18" fillId="0" borderId="14" applyAlignment="1" pivotButton="0" quotePrefix="0" xfId="0">
      <alignment vertical="center"/>
    </xf>
    <xf numFmtId="164" fontId="19" fillId="0" borderId="16" applyAlignment="1" pivotButton="0" quotePrefix="0" xfId="0">
      <alignment horizontal="center" vertical="center"/>
    </xf>
    <xf numFmtId="0" fontId="19" fillId="0" borderId="13" applyAlignment="1" pivotButton="0" quotePrefix="0" xfId="0">
      <alignment vertical="center"/>
    </xf>
    <xf numFmtId="0" fontId="19" fillId="0" borderId="14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8" fillId="34" borderId="15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164" fontId="19" fillId="33" borderId="16" applyAlignment="1" applyProtection="1" pivotButton="0" quotePrefix="0" xfId="0">
      <alignment horizontal="center" vertical="center"/>
      <protection locked="0" hidden="0"/>
    </xf>
    <xf numFmtId="9" fontId="18" fillId="33" borderId="15" applyAlignment="1" applyProtection="1" pivotButton="0" quotePrefix="0" xfId="0">
      <alignment vertical="center"/>
      <protection locked="0" hidden="0"/>
    </xf>
    <xf numFmtId="0" fontId="18" fillId="0" borderId="0" applyAlignment="1" pivotButton="0" quotePrefix="1" xfId="0">
      <alignment vertical="center"/>
    </xf>
    <xf numFmtId="0" fontId="18" fillId="0" borderId="14" applyAlignment="1" pivotButton="0" quotePrefix="1" xfId="0">
      <alignment vertical="center"/>
    </xf>
    <xf numFmtId="0" fontId="18" fillId="33" borderId="10" applyAlignment="1" applyProtection="1" pivotButton="0" quotePrefix="0" xfId="0">
      <alignment horizontal="left" vertical="center"/>
      <protection locked="0" hidden="0"/>
    </xf>
    <xf numFmtId="0" fontId="18" fillId="0" borderId="0" applyAlignment="1" pivotButton="0" quotePrefix="0" xfId="0">
      <alignment horizontal="center" vertical="center"/>
    </xf>
    <xf numFmtId="0" fontId="19" fillId="33" borderId="13" applyAlignment="1" applyProtection="1" pivotButton="0" quotePrefix="0" xfId="0">
      <alignment horizontal="left" vertical="center"/>
      <protection locked="0" hidden="0"/>
    </xf>
    <xf numFmtId="0" fontId="19" fillId="33" borderId="14" applyAlignment="1" applyProtection="1" pivotButton="0" quotePrefix="0" xfId="0">
      <alignment horizontal="left" vertical="center"/>
      <protection locked="0" hidden="0"/>
    </xf>
    <xf numFmtId="0" fontId="19" fillId="33" borderId="15" applyAlignment="1" applyProtection="1" pivotButton="0" quotePrefix="0" xfId="0">
      <alignment horizontal="left" vertical="center"/>
      <protection locked="0" hidden="0"/>
    </xf>
    <xf numFmtId="0" fontId="18" fillId="33" borderId="13" applyAlignment="1" applyProtection="1" pivotButton="0" quotePrefix="0" xfId="0">
      <alignment horizontal="left" vertical="center"/>
      <protection locked="0" hidden="0"/>
    </xf>
    <xf numFmtId="0" fontId="18" fillId="33" borderId="14" applyAlignment="1" applyProtection="1" pivotButton="0" quotePrefix="0" xfId="0">
      <alignment horizontal="left" vertical="center"/>
      <protection locked="0" hidden="0"/>
    </xf>
    <xf numFmtId="0" fontId="18" fillId="33" borderId="15" applyAlignment="1" applyProtection="1" pivotButton="0" quotePrefix="0" xfId="0">
      <alignment horizontal="left" vertical="center"/>
      <protection locked="0" hidden="0"/>
    </xf>
    <xf numFmtId="0" fontId="22" fillId="0" borderId="17" applyAlignment="1" pivotButton="0" quotePrefix="0" xfId="0">
      <alignment horizontal="left" vertical="center"/>
    </xf>
    <xf numFmtId="0" fontId="22" fillId="0" borderId="18" applyAlignment="1" pivotButton="0" quotePrefix="0" xfId="0">
      <alignment horizontal="left" vertical="center"/>
    </xf>
    <xf numFmtId="0" fontId="22" fillId="0" borderId="11" applyAlignment="1" pivotButton="0" quotePrefix="0" xfId="0">
      <alignment horizontal="left" vertical="center"/>
    </xf>
    <xf numFmtId="0" fontId="22" fillId="0" borderId="12" applyAlignment="1" pivotButton="0" quotePrefix="0" xfId="0">
      <alignment horizontal="left" vertical="center"/>
    </xf>
    <xf numFmtId="164" fontId="18" fillId="33" borderId="13" applyAlignment="1" applyProtection="1" pivotButton="0" quotePrefix="0" xfId="0">
      <alignment horizontal="center" vertical="center"/>
      <protection locked="0" hidden="0"/>
    </xf>
    <xf numFmtId="164" fontId="18" fillId="33" borderId="15" applyAlignment="1" applyProtection="1" pivotButton="0" quotePrefix="0" xfId="0">
      <alignment horizontal="center" vertical="center"/>
      <protection locked="0" hidden="0"/>
    </xf>
    <xf numFmtId="0" fontId="22" fillId="0" borderId="17" applyAlignment="1" pivotButton="0" quotePrefix="0" xfId="0">
      <alignment horizontal="left" vertical="center" wrapText="1"/>
    </xf>
    <xf numFmtId="0" fontId="22" fillId="0" borderId="18" applyAlignment="1" pivotButton="0" quotePrefix="0" xfId="0">
      <alignment horizontal="left" vertical="center" wrapText="1"/>
    </xf>
    <xf numFmtId="0" fontId="22" fillId="0" borderId="11" applyAlignment="1" pivotButton="0" quotePrefix="0" xfId="0">
      <alignment horizontal="left" vertical="center" wrapText="1"/>
    </xf>
    <xf numFmtId="0" fontId="22" fillId="0" borderId="12" applyAlignment="1" pivotButton="0" quotePrefix="0" xfId="0">
      <alignment horizontal="left" vertical="center" wrapText="1"/>
    </xf>
    <xf numFmtId="0" fontId="19" fillId="33" borderId="10" applyAlignment="1" applyProtection="1" pivotButton="0" quotePrefix="0" xfId="0">
      <alignment horizontal="left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164" fontId="18" fillId="35" borderId="10" applyAlignment="1" pivotButton="0" quotePrefix="0" xfId="0">
      <alignment vertical="center"/>
    </xf>
    <xf numFmtId="164" fontId="19" fillId="33" borderId="16" applyAlignment="1" applyProtection="1" pivotButton="0" quotePrefix="0" xfId="0">
      <alignment horizontal="center" vertical="center"/>
      <protection locked="0" hidden="0"/>
    </xf>
    <xf numFmtId="10" fontId="18" fillId="33" borderId="15" applyAlignment="1" applyProtection="1" pivotButton="0" quotePrefix="0" xfId="0">
      <alignment vertical="center"/>
      <protection locked="0" hidden="0"/>
    </xf>
    <xf numFmtId="164" fontId="19" fillId="0" borderId="16" applyAlignment="1" pivotButton="0" quotePrefix="0" xfId="0">
      <alignment horizontal="center" vertical="center"/>
    </xf>
    <xf numFmtId="0" fontId="22" fillId="0" borderId="10" applyAlignment="1" pivotButton="0" quotePrefix="0" xfId="0">
      <alignment horizontal="left" vertical="center"/>
    </xf>
    <xf numFmtId="0" fontId="0" fillId="0" borderId="18" pivotButton="0" quotePrefix="0" xfId="0"/>
    <xf numFmtId="0" fontId="22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164" fontId="18" fillId="33" borderId="10" applyAlignment="1" applyProtection="1" pivotButton="0" quotePrefix="0" xfId="0">
      <alignment horizontal="center" vertical="center"/>
      <protection locked="0" hidden="0"/>
    </xf>
  </cellXfs>
  <cellStyles count="43">
    <cellStyle name="Standaard" xfId="0" builtinId="0"/>
    <cellStyle name="Titel" xfId="1" builtinId="15"/>
    <cellStyle name="Kop 1" xfId="2" builtinId="16"/>
    <cellStyle name="Kop 2" xfId="3" builtinId="17"/>
    <cellStyle name="Kop 3" xfId="4" builtinId="18"/>
    <cellStyle name="Kop 4" xfId="5" builtinId="19"/>
    <cellStyle name="Goed" xfId="6" builtinId="26"/>
    <cellStyle name="Ongeldig" xfId="7" builtinId="27"/>
    <cellStyle name="Neutraal" xfId="8" builtinId="28"/>
    <cellStyle name="Invoer" xfId="9" builtinId="20"/>
    <cellStyle name="Uitvoer" xfId="10" builtinId="21"/>
    <cellStyle name="Berekening" xfId="11" builtinId="22"/>
    <cellStyle name="Gekoppelde cel" xfId="12" builtinId="24"/>
    <cellStyle name="Controlecel" xfId="13" builtinId="23"/>
    <cellStyle name="Waarschuwingstekst" xfId="14" builtinId="11"/>
    <cellStyle name="Notitie" xfId="15" builtinId="10"/>
    <cellStyle name="Verklarende tekst" xfId="16" builtinId="53"/>
    <cellStyle name="Tota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Standaard 4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81"/>
  <sheetViews>
    <sheetView tabSelected="1" zoomScale="130" zoomScaleNormal="130" workbookViewId="0">
      <selection activeCell="E40" sqref="E40"/>
    </sheetView>
  </sheetViews>
  <sheetFormatPr baseColWidth="8" defaultColWidth="9.140625" defaultRowHeight="15" customHeight="1"/>
  <cols>
    <col width="5.7109375" customWidth="1" style="1" min="1" max="1"/>
    <col width="20.7109375" customWidth="1" style="1" min="2" max="2"/>
    <col width="61.140625" bestFit="1" customWidth="1" style="1" min="3" max="3"/>
    <col width="10.7109375" customWidth="1" style="1" min="4" max="4"/>
    <col width="19.28515625" customWidth="1" style="1" min="5" max="5"/>
    <col width="9.140625" customWidth="1" style="1" min="6" max="6"/>
    <col width="23.7109375" bestFit="1" customWidth="1" style="1" min="7" max="7"/>
    <col width="9.140625" customWidth="1" style="1" min="8" max="16384"/>
  </cols>
  <sheetData>
    <row r="1" ht="15" customHeight="1">
      <c r="C1" s="2" t="inlineStr">
        <is>
          <t>U dient de geel gearceerde cellen in te vullen</t>
        </is>
      </c>
    </row>
    <row r="2" ht="15" customHeight="1">
      <c r="C2" s="3" t="n"/>
    </row>
    <row r="3" ht="15" customHeight="1">
      <c r="B3" s="1" t="inlineStr">
        <is>
          <t>Betreft</t>
        </is>
      </c>
      <c r="C3" s="3" t="inlineStr">
        <is>
          <t>Inschrijfstaat Prijzenformulier</t>
        </is>
      </c>
    </row>
    <row r="4" ht="15" customHeight="1">
      <c r="B4" s="1" t="inlineStr">
        <is>
          <t>Opdrachtgever</t>
        </is>
      </c>
      <c r="C4" s="1" t="inlineStr">
        <is>
          <t>Gemeente Hilversum</t>
        </is>
      </c>
    </row>
    <row r="5" ht="15" customHeight="1">
      <c r="B5" s="1" t="inlineStr">
        <is>
          <t>Project</t>
        </is>
      </c>
      <c r="C5" s="1" t="inlineStr">
        <is>
          <t>Thebe 22</t>
        </is>
      </c>
    </row>
    <row r="6" ht="15" customHeight="1">
      <c r="B6" s="1" t="inlineStr">
        <is>
          <t>Inschrijver</t>
        </is>
      </c>
      <c r="C6" s="43" t="n"/>
      <c r="D6" s="44" t="n"/>
      <c r="E6" s="45" t="n"/>
    </row>
    <row r="7" ht="15" customHeight="1">
      <c r="B7" s="1" t="inlineStr">
        <is>
          <t>Datum</t>
        </is>
      </c>
      <c r="C7" s="25" t="n"/>
      <c r="D7" s="44" t="n"/>
      <c r="E7" s="45" t="n"/>
    </row>
    <row r="9" ht="15" customHeight="1">
      <c r="B9" s="1" t="inlineStr">
        <is>
          <t>Alle onderstaande bedragen zijn exclusief BTW, prijspeil 2026.</t>
        </is>
      </c>
    </row>
    <row r="11" ht="15" customHeight="1">
      <c r="B11" s="4" t="inlineStr">
        <is>
          <t>Basis begroting maatregelen</t>
        </is>
      </c>
      <c r="C11" s="5" t="n"/>
      <c r="D11" s="5" t="n"/>
      <c r="E11" s="5" t="n"/>
    </row>
    <row r="12" ht="15" customHeight="1">
      <c r="B12" s="6" t="n"/>
      <c r="C12" s="7" t="inlineStr">
        <is>
          <t xml:space="preserve">Installatietechnische werkzaamheden </t>
        </is>
      </c>
      <c r="D12" s="8" t="n"/>
      <c r="E12" s="46">
        <f>SUM(E13:E21)</f>
        <v/>
      </c>
    </row>
    <row r="13" ht="15" customHeight="1">
      <c r="B13" s="10" t="n"/>
      <c r="C13" s="11" t="inlineStr">
        <is>
          <t>Ruitmeverwarming en -koeling</t>
        </is>
      </c>
      <c r="D13" s="12" t="n"/>
      <c r="E13" s="47" t="n">
        <v>111200</v>
      </c>
    </row>
    <row r="14" ht="15" customHeight="1">
      <c r="B14" s="10" t="n"/>
      <c r="C14" s="11" t="inlineStr">
        <is>
          <t>Warmtapwaterinstallatie</t>
        </is>
      </c>
      <c r="D14" s="12" t="n"/>
      <c r="E14" s="47" t="n">
        <v>98250</v>
      </c>
    </row>
    <row r="15" ht="15" customHeight="1">
      <c r="B15" s="10" t="n"/>
      <c r="C15" s="11" t="inlineStr">
        <is>
          <t>Luchtbehandelingskast / ventilatieinstallatie, incl. kanaalwerk</t>
        </is>
      </c>
      <c r="D15" s="12" t="n"/>
      <c r="E15" s="47" t="n">
        <v>208410</v>
      </c>
    </row>
    <row r="16" ht="15" customHeight="1">
      <c r="B16" s="10" t="n"/>
      <c r="C16" s="11" t="inlineStr">
        <is>
          <t>Verlichtingsinstallatie</t>
        </is>
      </c>
      <c r="D16" s="12" t="n"/>
      <c r="E16" s="47" t="n">
        <v>55775</v>
      </c>
    </row>
    <row r="17" ht="15" customHeight="1">
      <c r="B17" s="10" t="n"/>
      <c r="C17" s="11" t="inlineStr">
        <is>
          <t>Centrale elektrotechnische voorzieningen</t>
        </is>
      </c>
      <c r="D17" s="12" t="n"/>
      <c r="E17" s="47" t="n">
        <v>54680</v>
      </c>
    </row>
    <row r="18" ht="15" customHeight="1">
      <c r="B18" s="10" t="n"/>
      <c r="C18" s="11" t="inlineStr">
        <is>
          <t>Aanpassen regeltechniek</t>
        </is>
      </c>
      <c r="D18" s="12" t="n"/>
      <c r="E18" s="47" t="n">
        <v>5300</v>
      </c>
    </row>
    <row r="19" ht="15" customHeight="1">
      <c r="B19" s="10" t="n"/>
      <c r="C19" s="11" t="inlineStr">
        <is>
          <t>Communicatievoorzieningen</t>
        </is>
      </c>
      <c r="D19" s="12" t="n"/>
      <c r="E19" s="47" t="n">
        <v>12700</v>
      </c>
    </row>
    <row r="20" ht="15" customHeight="1">
      <c r="B20" s="10" t="n"/>
      <c r="C20" s="11" t="inlineStr">
        <is>
          <t>Toegangscontrole en beveiliging</t>
        </is>
      </c>
      <c r="D20" s="12" t="n"/>
      <c r="E20" s="47" t="n">
        <v>45435</v>
      </c>
    </row>
    <row r="21" ht="15" customHeight="1">
      <c r="B21" s="10" t="n"/>
      <c r="C21" s="11" t="inlineStr">
        <is>
          <t>Evt. andere bijkomende kosten</t>
        </is>
      </c>
      <c r="D21" s="12" t="n"/>
      <c r="E21" s="47" t="n">
        <v>12000</v>
      </c>
    </row>
    <row r="22" ht="15" customHeight="1">
      <c r="B22" s="6" t="n"/>
      <c r="C22" s="7" t="inlineStr">
        <is>
          <t>Bouwkundige voorzieningen</t>
        </is>
      </c>
      <c r="D22" s="8" t="n"/>
      <c r="E22" s="46">
        <f>SUM(E23:E34)</f>
        <v/>
      </c>
    </row>
    <row r="23" ht="15" customHeight="1">
      <c r="B23" s="10" t="n"/>
      <c r="C23" s="11" t="inlineStr">
        <is>
          <t>Vervangen kozijnen, ramen en gevelpanelen/-onderdelen</t>
        </is>
      </c>
      <c r="D23" s="12" t="n"/>
      <c r="E23" s="47" t="n">
        <v>13375</v>
      </c>
    </row>
    <row r="24" ht="15" customHeight="1">
      <c r="B24" s="10" t="n"/>
      <c r="C24" s="11" t="inlineStr">
        <is>
          <t>Vervangen vloerafwerking en plinten</t>
        </is>
      </c>
      <c r="D24" s="12" t="n"/>
      <c r="E24" s="47" t="n">
        <v>94673</v>
      </c>
    </row>
    <row r="25" ht="15" customHeight="1">
      <c r="B25" s="10" t="n"/>
      <c r="C25" s="11" t="inlineStr">
        <is>
          <t>Aanpassen binnenwanden, -kozijnen en deuren</t>
        </is>
      </c>
      <c r="D25" s="12" t="n"/>
      <c r="E25" s="47" t="n">
        <v>291270</v>
      </c>
    </row>
    <row r="26" ht="15" customHeight="1">
      <c r="B26" s="10" t="n"/>
      <c r="C26" s="11" t="inlineStr">
        <is>
          <t>Vervangen plafondafwerking</t>
        </is>
      </c>
      <c r="D26" s="12" t="n"/>
      <c r="E26" s="47" t="n">
        <v>60400</v>
      </c>
    </row>
    <row r="27" ht="15" customHeight="1">
      <c r="B27" s="10" t="n"/>
      <c r="C27" s="11" t="inlineStr">
        <is>
          <t>Aanpassen zonwering</t>
        </is>
      </c>
      <c r="D27" s="12" t="n"/>
      <c r="E27" s="47" t="n">
        <v>18000</v>
      </c>
    </row>
    <row r="28" ht="15" customHeight="1">
      <c r="B28" s="10" t="n"/>
      <c r="C28" s="11" t="inlineStr">
        <is>
          <t>Realiseren vaste keukenvoorzieningen en pantry's</t>
        </is>
      </c>
      <c r="D28" s="12" t="n"/>
      <c r="E28" s="47" t="n">
        <v>60190</v>
      </c>
    </row>
    <row r="29" ht="15" customHeight="1">
      <c r="B29" s="10" t="n"/>
      <c r="C29" s="11" t="inlineStr">
        <is>
          <t>Realiseren douchevoorzieningen</t>
        </is>
      </c>
      <c r="D29" s="12" t="n"/>
      <c r="E29" s="47" t="n">
        <v>27525</v>
      </c>
    </row>
    <row r="30" ht="15" customHeight="1">
      <c r="B30" s="10" t="n"/>
      <c r="C30" s="23" t="inlineStr">
        <is>
          <t xml:space="preserve">   Realiseren hekwerk terrein</t>
        </is>
      </c>
      <c r="D30" s="12" t="n"/>
      <c r="E30" s="47" t="n">
        <v>8550</v>
      </c>
    </row>
    <row r="31" ht="15" customHeight="1">
      <c r="B31" s="10" t="n"/>
      <c r="C31" s="24" t="inlineStr">
        <is>
          <t xml:space="preserve">   Realiseren entree's, inclusief bijehorende voorzieningen</t>
        </is>
      </c>
      <c r="D31" s="12" t="n"/>
      <c r="E31" s="47" t="n">
        <v>8800</v>
      </c>
    </row>
    <row r="32" ht="15" customHeight="1">
      <c r="B32" s="10" t="n"/>
      <c r="C32" s="11" t="inlineStr">
        <is>
          <t>Realiseren fietsenstalling</t>
        </is>
      </c>
      <c r="D32" s="12" t="n"/>
      <c r="E32" s="47" t="n">
        <v>0</v>
      </c>
    </row>
    <row r="33" ht="15" customHeight="1">
      <c r="B33" s="10" t="n"/>
      <c r="C33" s="11" t="inlineStr">
        <is>
          <t>Doorvoeringen inbranden voor de Installaties</t>
        </is>
      </c>
      <c r="D33" s="12" t="n"/>
      <c r="E33" s="47" t="n">
        <v>12480</v>
      </c>
    </row>
    <row r="34" ht="15" customHeight="1">
      <c r="B34" s="10" t="n"/>
      <c r="C34" s="11" t="inlineStr">
        <is>
          <t>Evt. andere bijkomende kosten</t>
        </is>
      </c>
      <c r="E34" s="47" t="n">
        <v>23200</v>
      </c>
    </row>
    <row r="35" ht="15" customHeight="1">
      <c r="B35" s="6" t="n"/>
      <c r="C35" s="7" t="inlineStr">
        <is>
          <t>Overige en bijkomende kosten</t>
        </is>
      </c>
      <c r="D35" s="8" t="n"/>
      <c r="E35" s="46">
        <f>SUM(E36:E41)</f>
        <v/>
      </c>
    </row>
    <row r="36" ht="15" customHeight="1">
      <c r="B36" s="10" t="n"/>
      <c r="C36" s="11" t="inlineStr">
        <is>
          <t>Engineering en Coördinatiekosten</t>
        </is>
      </c>
      <c r="D36" s="12" t="n"/>
      <c r="E36" s="47" t="n">
        <v>49000</v>
      </c>
    </row>
    <row r="37" ht="15" customHeight="1">
      <c r="B37" s="10" t="n"/>
      <c r="C37" s="11" t="inlineStr">
        <is>
          <t>Revisietekeningen</t>
        </is>
      </c>
      <c r="D37" s="12" t="n"/>
      <c r="E37" s="47" t="n">
        <v>6500</v>
      </c>
    </row>
    <row r="38" ht="15" customHeight="1">
      <c r="B38" s="10" t="n"/>
      <c r="C38" s="13" t="inlineStr">
        <is>
          <t>Algemene Bouwplaatskosten (ABK)</t>
        </is>
      </c>
      <c r="E38" s="47" t="n">
        <v>64600</v>
      </c>
    </row>
    <row r="39" ht="15" customHeight="1">
      <c r="B39" s="10" t="n"/>
      <c r="C39" s="11" t="inlineStr">
        <is>
          <t>Algemene Kosten (AK)</t>
        </is>
      </c>
      <c r="D39" s="48" t="n">
        <v>0.07000000000000001</v>
      </c>
      <c r="E39" s="47" t="n">
        <v>93962</v>
      </c>
    </row>
    <row r="40" ht="15" customHeight="1">
      <c r="B40" s="10" t="n"/>
      <c r="C40" s="11" t="inlineStr">
        <is>
          <t>Winst en Risico (W&amp;R)</t>
        </is>
      </c>
      <c r="D40" s="48" t="n">
        <v>0.03</v>
      </c>
      <c r="E40" s="47" t="n">
        <v>43088</v>
      </c>
    </row>
    <row r="41" ht="15" customHeight="1">
      <c r="B41" s="10" t="n"/>
      <c r="C41" s="11" t="inlineStr">
        <is>
          <t>CAR</t>
        </is>
      </c>
      <c r="D41" s="48" t="n">
        <v>0.0025</v>
      </c>
      <c r="E41" s="47" t="n">
        <v>3698</v>
      </c>
    </row>
    <row r="42" ht="15" customHeight="1">
      <c r="B42" s="10" t="n"/>
      <c r="C42" s="14" t="n"/>
      <c r="D42" s="12" t="n"/>
      <c r="E42" s="49" t="n"/>
    </row>
    <row r="43" ht="15" customHeight="1">
      <c r="B43" s="16" t="inlineStr">
        <is>
          <t>Totaal exclusief BTW</t>
        </is>
      </c>
      <c r="C43" s="17" t="n"/>
      <c r="D43" s="18" t="n"/>
      <c r="E43" s="49">
        <f>E12+E22+E35</f>
        <v/>
      </c>
      <c r="G43" s="2" t="inlineStr">
        <is>
          <t>&lt; &lt; &lt; dit is uw inschrijfbedrag</t>
        </is>
      </c>
    </row>
    <row r="44" ht="15" customHeight="1">
      <c r="B44" s="3" t="n"/>
      <c r="C44" s="3" t="n"/>
      <c r="D44" s="3" t="n"/>
      <c r="E44" s="3" t="n"/>
    </row>
    <row r="46" ht="15" customHeight="1">
      <c r="B46" s="4" t="inlineStr">
        <is>
          <t>Optimalisaties (optioneel) - Voor de optimalisatievoorstellen behoeft geen openbegroting/raming  te worden ingedient.</t>
        </is>
      </c>
      <c r="C46" s="5" t="n"/>
      <c r="D46" s="5" t="n"/>
      <c r="E46" s="19" t="n"/>
    </row>
    <row r="47" ht="15" customHeight="1">
      <c r="B47" s="50" t="inlineStr">
        <is>
          <t>Omschrijving (voordeel t.o.v. hierboven)</t>
        </is>
      </c>
      <c r="C47" s="51" t="n"/>
      <c r="D47" s="52" t="inlineStr">
        <is>
          <t>Indicatie meer/minder investering t.o.v. hierboven</t>
        </is>
      </c>
      <c r="E47" s="51" t="n"/>
    </row>
    <row r="48" ht="15" customHeight="1">
      <c r="B48" s="53" t="n"/>
      <c r="C48" s="54" t="n"/>
      <c r="D48" s="53" t="n"/>
      <c r="E48" s="54" t="n"/>
    </row>
    <row r="49" ht="15" customHeight="1">
      <c r="B49" s="25" t="n"/>
      <c r="C49" s="45" t="n"/>
      <c r="D49" s="55" t="n"/>
      <c r="E49" s="45" t="n"/>
    </row>
    <row r="50" ht="15" customHeight="1">
      <c r="B50" s="25" t="n"/>
      <c r="C50" s="45" t="n"/>
      <c r="D50" s="55" t="n"/>
      <c r="E50" s="45" t="n"/>
    </row>
    <row r="51" ht="15" customHeight="1">
      <c r="B51" s="25" t="n"/>
      <c r="C51" s="45" t="n"/>
      <c r="D51" s="55" t="n"/>
      <c r="E51" s="45" t="n"/>
    </row>
    <row r="52" ht="15" customHeight="1">
      <c r="B52" s="26" t="n"/>
    </row>
    <row r="53" ht="15" customHeight="1">
      <c r="B53" s="3" t="n"/>
    </row>
    <row r="55" ht="15" customHeight="1">
      <c r="B55" s="26" t="n"/>
      <c r="C55" s="26" t="n"/>
    </row>
    <row r="56" ht="15" customHeight="1">
      <c r="B56" s="3" t="n"/>
    </row>
    <row r="60" ht="15" customHeight="1">
      <c r="B60" s="3" t="n"/>
    </row>
    <row r="67" ht="15" customHeight="1">
      <c r="B67" s="3" t="n"/>
    </row>
    <row r="74" ht="15" customHeight="1">
      <c r="B74" s="3" t="n"/>
    </row>
    <row r="81" ht="15" customHeight="1">
      <c r="B81" s="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N6Aosc90ZCrVA8KV+6X/Gw==" formatRows="1" sort="1" spinCount="100000" hashValue="QxJxEoEelcNfYZl1KENonzUjFkm11BjZ7Oo3J94j4+cXfjMmb5nUetHz8OciKiuqFAoufZlB69pil9Yp05V/3Q=="/>
  <mergeCells count="11">
    <mergeCell ref="B52:C52"/>
    <mergeCell ref="D47:E48"/>
    <mergeCell ref="D49:E49"/>
    <mergeCell ref="B51:C51"/>
    <mergeCell ref="D51:E51"/>
    <mergeCell ref="C6:E6"/>
    <mergeCell ref="B50:C50"/>
    <mergeCell ref="D50:E50"/>
    <mergeCell ref="C7:E7"/>
    <mergeCell ref="B49:C49"/>
    <mergeCell ref="B47:C48"/>
  </mergeCells>
  <pageMargins left="0.3149606299212598" right="0.3149606299212598" top="0.3543307086614174" bottom="0.1574803149606299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Bas Fukken</dc:creator>
  <dcterms:created xsi:type="dcterms:W3CDTF">2021-07-12T07:32:25Z</dcterms:created>
  <dcterms:modified xsi:type="dcterms:W3CDTF">2026-09-30T10:27:48Z</dcterms:modified>
  <cp:lastModifiedBy>Carmen Ramkhelawan</cp:lastModifiedBy>
  <cp:lastPrinted>2025-08-14T07:21:28Z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0x010100E239FF10E7470D40800FCC219F275590</vt:lpwstr>
  </property>
  <property name="MediaServiceImageTags" fmtid="{D5CDD505-2E9C-101B-9397-08002B2CF9AE}" pid="3">
    <vt:lpwstr/>
  </property>
  <property name="Order" fmtid="{D5CDD505-2E9C-101B-9397-08002B2CF9AE}" pid="4">
    <vt:r8>92100</vt:r8>
  </property>
  <property name="xd_Signature" fmtid="{D5CDD505-2E9C-101B-9397-08002B2CF9AE}" pid="5">
    <vt:bool>0</vt:bool>
  </property>
  <property name="xd_ProgID" fmtid="{D5CDD505-2E9C-101B-9397-08002B2CF9AE}" pid="6">
    <vt:lpwstr/>
  </property>
  <property name="ComplianceAssetId" fmtid="{D5CDD505-2E9C-101B-9397-08002B2CF9AE}" pid="7">
    <vt:lpwstr/>
  </property>
  <property name="TemplateUrl" fmtid="{D5CDD505-2E9C-101B-9397-08002B2CF9AE}" pid="8">
    <vt:lpwstr/>
  </property>
  <property name="_ExtendedDescription" fmtid="{D5CDD505-2E9C-101B-9397-08002B2CF9AE}" pid="9">
    <vt:lpwstr/>
  </property>
  <property name="TriggerFlowInfo" fmtid="{D5CDD505-2E9C-101B-9397-08002B2CF9AE}" pid="10">
    <vt:lpwstr/>
  </property>
  <property name="ctbFolderMD7" fmtid="{D5CDD505-2E9C-101B-9397-08002B2CF9AE}" pid="11">
    <vt:lpwstr/>
  </property>
  <property name="ctbFolderMD5" fmtid="{D5CDD505-2E9C-101B-9397-08002B2CF9AE}" pid="12">
    <vt:lpwstr/>
  </property>
  <property name="ctbFolderMD0" fmtid="{D5CDD505-2E9C-101B-9397-08002B2CF9AE}" pid="13">
    <vt:lpwstr>Gedeelde documenten</vt:lpwstr>
  </property>
  <property name="ctbFolderMD8" fmtid="{D5CDD505-2E9C-101B-9397-08002B2CF9AE}" pid="14">
    <vt:lpwstr/>
  </property>
  <property name="ctbFolderMD6" fmtid="{D5CDD505-2E9C-101B-9397-08002B2CF9AE}" pid="15">
    <vt:lpwstr/>
  </property>
  <property name="ctbFolderMD4" fmtid="{D5CDD505-2E9C-101B-9397-08002B2CF9AE}" pid="16">
    <vt:lpwstr/>
  </property>
</Properties>
</file>